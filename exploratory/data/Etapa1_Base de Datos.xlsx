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b48497752f77df29/University/TEC/PI Engineering Licenciate/Uni Semesters/IX Semestre 2026 TFG/Experimentos/Etapa 1 Mapeo de Perfiles (Forma)/"/>
    </mc:Choice>
  </mc:AlternateContent>
  <xr:revisionPtr revIDLastSave="0" documentId="8_{1124BF56-005C-4204-AE50-B03C6C2500BB}" xr6:coauthVersionLast="47" xr6:coauthVersionMax="47" xr10:uidLastSave="{00000000-0000-0000-0000-000000000000}"/>
  <bookViews>
    <workbookView xWindow="-120" yWindow="-120" windowWidth="20730" windowHeight="11040" firstSheet="3" activeTab="3" xr2:uid="{454A2D3C-8ED5-43A6-A001-262A0E5A1E7B}"/>
  </bookViews>
  <sheets>
    <sheet name="Combinaciones" sheetId="3" r:id="rId1"/>
    <sheet name="Prisma Rectangular" sheetId="1" r:id="rId2"/>
    <sheet name="Prisma Triangular" sheetId="4" r:id="rId3"/>
    <sheet name="Cilindro" sheetId="2" r:id="rId4"/>
    <sheet name="Tiempo-Recursos-Consumo" sheetId="5" r:id="rId5"/>
  </sheets>
  <definedNames>
    <definedName name="_xlnm._FilterDatabase" localSheetId="2" hidden="1">'Prisma Triangular'!$F$2:$AE$182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AF62" i="1"/>
  <c r="AE62" i="1"/>
  <c r="AF61" i="1"/>
  <c r="AE61" i="1"/>
  <c r="AF60" i="1"/>
  <c r="AE60" i="1"/>
  <c r="AF59" i="1"/>
  <c r="AE59" i="1"/>
  <c r="AF58" i="1"/>
  <c r="AE58" i="1"/>
  <c r="AF57" i="1"/>
  <c r="AE57" i="1"/>
  <c r="AF56" i="1"/>
  <c r="AE56" i="1"/>
  <c r="AF55" i="1"/>
  <c r="AE55" i="1"/>
  <c r="AF54" i="1"/>
  <c r="AE54" i="1"/>
  <c r="AF53" i="1"/>
  <c r="AE53" i="1"/>
  <c r="AF52" i="1"/>
  <c r="AE52" i="1"/>
  <c r="AF51" i="1"/>
  <c r="AE51" i="1"/>
  <c r="AF50" i="1"/>
  <c r="AE50" i="1"/>
  <c r="AF49" i="1"/>
  <c r="AE49" i="1"/>
  <c r="AF48" i="1"/>
  <c r="AE48" i="1"/>
  <c r="AF47" i="1"/>
  <c r="AE47" i="1"/>
  <c r="AF46" i="1"/>
  <c r="AE46" i="1"/>
  <c r="AF45" i="1"/>
  <c r="AE45" i="1"/>
  <c r="AF44" i="1"/>
  <c r="AE44" i="1"/>
  <c r="AF43" i="1"/>
  <c r="AE43" i="1"/>
  <c r="AF42" i="1"/>
  <c r="AE42" i="1"/>
  <c r="AF41" i="1"/>
  <c r="AE41" i="1"/>
  <c r="AF40" i="1"/>
  <c r="AE40" i="1"/>
  <c r="AF39" i="1"/>
  <c r="AE39" i="1"/>
  <c r="AF38" i="1"/>
  <c r="AE38" i="1"/>
  <c r="AF37" i="1"/>
  <c r="AE37" i="1"/>
  <c r="AF36" i="1"/>
  <c r="AE36" i="1"/>
  <c r="AF35" i="1"/>
  <c r="AE35" i="1"/>
  <c r="AF34" i="1"/>
  <c r="AE34" i="1"/>
  <c r="AF33" i="1"/>
  <c r="AE33" i="1"/>
  <c r="AF32" i="1"/>
  <c r="AE32" i="1"/>
  <c r="AF31" i="1"/>
  <c r="AE31" i="1"/>
  <c r="AF30" i="1"/>
  <c r="AE30" i="1"/>
  <c r="AF29" i="1"/>
  <c r="AE29" i="1"/>
  <c r="AF28" i="1"/>
  <c r="AE28" i="1"/>
  <c r="AF27" i="1"/>
  <c r="AE27" i="1"/>
  <c r="AF26" i="1"/>
  <c r="AE26" i="1"/>
  <c r="AF25" i="1"/>
  <c r="AE25" i="1"/>
  <c r="AF24" i="1"/>
  <c r="AE24" i="1"/>
  <c r="AF23" i="1"/>
  <c r="AE23" i="1"/>
  <c r="AF22" i="1"/>
  <c r="AE22" i="1"/>
  <c r="AF21" i="1"/>
  <c r="AE21" i="1"/>
  <c r="AF20" i="1"/>
  <c r="AE20" i="1"/>
  <c r="AF19" i="1"/>
  <c r="AE19" i="1"/>
  <c r="AF18" i="1"/>
  <c r="AE18" i="1"/>
  <c r="AF17" i="1"/>
  <c r="AE17" i="1"/>
  <c r="V62" i="2"/>
  <c r="U62" i="2"/>
  <c r="V61" i="2"/>
  <c r="U61" i="2"/>
  <c r="V60" i="2"/>
  <c r="U60" i="2"/>
  <c r="V59" i="2"/>
  <c r="U59" i="2"/>
  <c r="V58" i="2"/>
  <c r="U58" i="2"/>
  <c r="V57" i="2"/>
  <c r="U57" i="2"/>
  <c r="V56" i="2"/>
  <c r="U56" i="2"/>
  <c r="V55" i="2"/>
  <c r="U55" i="2"/>
  <c r="V54" i="2"/>
  <c r="U54" i="2"/>
  <c r="V53" i="2"/>
  <c r="U53" i="2"/>
  <c r="V52" i="2"/>
  <c r="U52" i="2"/>
  <c r="V51" i="2"/>
  <c r="U51" i="2"/>
  <c r="V50" i="2"/>
  <c r="U50" i="2"/>
  <c r="V49" i="2"/>
  <c r="U49" i="2"/>
  <c r="V48" i="2"/>
  <c r="U48" i="2"/>
  <c r="V47" i="2"/>
  <c r="U47" i="2"/>
  <c r="V46" i="2"/>
  <c r="U46" i="2"/>
  <c r="V45" i="2"/>
  <c r="U45" i="2"/>
  <c r="V44" i="2"/>
  <c r="U44" i="2"/>
  <c r="V43" i="2"/>
  <c r="U43" i="2"/>
  <c r="Z3" i="2"/>
  <c r="AF16" i="1"/>
  <c r="AE16" i="1"/>
  <c r="AF15" i="1"/>
  <c r="AE15" i="1"/>
  <c r="AF14" i="1"/>
  <c r="AE14" i="1"/>
  <c r="AF13" i="1"/>
  <c r="AE13" i="1"/>
  <c r="AF12" i="1"/>
  <c r="AE12" i="1"/>
  <c r="AF11" i="1"/>
  <c r="AE11" i="1"/>
  <c r="AF10" i="1"/>
  <c r="AE10" i="1"/>
  <c r="AF9" i="1"/>
  <c r="AE9" i="1"/>
  <c r="AF8" i="1"/>
  <c r="AE8" i="1"/>
  <c r="AF7" i="1"/>
  <c r="AE7" i="1"/>
  <c r="AF6" i="1"/>
  <c r="AE6" i="1"/>
  <c r="AF5" i="1"/>
  <c r="AE5" i="1"/>
  <c r="AF4" i="1"/>
  <c r="AE4" i="1"/>
  <c r="AF3" i="1"/>
  <c r="AE3" i="1"/>
  <c r="AA42" i="2"/>
  <c r="Z42" i="2"/>
  <c r="AA41" i="2"/>
  <c r="Z41" i="2"/>
  <c r="AA40" i="2"/>
  <c r="Z40" i="2"/>
  <c r="AA39" i="2"/>
  <c r="Z39" i="2"/>
  <c r="AA38" i="2"/>
  <c r="Z38" i="2"/>
  <c r="AA37" i="2"/>
  <c r="Z37" i="2"/>
  <c r="AA36" i="2"/>
  <c r="Z36" i="2"/>
  <c r="AA35" i="2"/>
  <c r="Z35" i="2"/>
  <c r="AA34" i="2"/>
  <c r="Z34" i="2"/>
  <c r="AA33" i="2"/>
  <c r="Z33" i="2"/>
  <c r="AA32" i="2"/>
  <c r="Z32" i="2"/>
  <c r="AA31" i="2"/>
  <c r="Z31" i="2"/>
  <c r="AA30" i="2"/>
  <c r="Z30" i="2"/>
  <c r="AA29" i="2"/>
  <c r="Z29" i="2"/>
  <c r="AA28" i="2"/>
  <c r="Z28" i="2"/>
  <c r="AA27" i="2"/>
  <c r="Z27" i="2"/>
  <c r="AA26" i="2"/>
  <c r="Z26" i="2"/>
  <c r="AA25" i="2"/>
  <c r="Z25" i="2"/>
  <c r="AA24" i="2"/>
  <c r="Z24" i="2"/>
  <c r="AA23" i="2"/>
  <c r="Z23" i="2"/>
  <c r="AA22" i="2"/>
  <c r="Z22" i="2"/>
  <c r="AA21" i="2"/>
  <c r="Z21" i="2"/>
  <c r="AA20" i="2"/>
  <c r="Z20" i="2"/>
  <c r="AA19" i="2"/>
  <c r="Z19" i="2"/>
  <c r="AA18" i="2"/>
  <c r="Z18" i="2"/>
  <c r="AA17" i="2"/>
  <c r="Z17" i="2"/>
  <c r="AA16" i="2"/>
  <c r="Z16" i="2"/>
  <c r="AA15" i="2"/>
  <c r="Z15" i="2"/>
  <c r="AA14" i="2"/>
  <c r="Z14" i="2"/>
  <c r="AA13" i="2"/>
  <c r="Z13" i="2"/>
  <c r="AA12" i="2"/>
  <c r="Z12" i="2"/>
  <c r="AA11" i="2"/>
  <c r="Z11" i="2"/>
  <c r="AA10" i="2"/>
  <c r="Z10" i="2"/>
  <c r="AA9" i="2"/>
  <c r="Z9" i="2"/>
  <c r="AA8" i="2"/>
  <c r="Z8" i="2"/>
  <c r="AA7" i="2"/>
  <c r="Z7" i="2"/>
  <c r="AA6" i="2"/>
  <c r="Z6" i="2"/>
  <c r="AA5" i="2"/>
  <c r="Z5" i="2"/>
  <c r="AA4" i="2"/>
  <c r="Z4" i="2"/>
  <c r="AA3" i="2"/>
  <c r="V42" i="2"/>
  <c r="U42" i="2"/>
  <c r="V41" i="2"/>
  <c r="U41" i="2"/>
  <c r="V40" i="2"/>
  <c r="U40" i="2"/>
  <c r="V39" i="2"/>
  <c r="U39" i="2"/>
  <c r="V38" i="2"/>
  <c r="U38" i="2"/>
  <c r="V37" i="2"/>
  <c r="U37" i="2"/>
  <c r="V36" i="2"/>
  <c r="U36" i="2"/>
  <c r="V35" i="2"/>
  <c r="U35" i="2"/>
  <c r="V34" i="2"/>
  <c r="U34" i="2"/>
  <c r="V33" i="2"/>
  <c r="U33" i="2"/>
  <c r="V32" i="2"/>
  <c r="U32" i="2"/>
  <c r="V31" i="2"/>
  <c r="U31" i="2"/>
  <c r="V30" i="2"/>
  <c r="U30" i="2"/>
  <c r="V29" i="2"/>
  <c r="U29" i="2"/>
  <c r="V28" i="2"/>
  <c r="U28" i="2"/>
  <c r="V27" i="2"/>
  <c r="U27" i="2"/>
  <c r="V26" i="2"/>
  <c r="U26" i="2"/>
  <c r="V25" i="2"/>
  <c r="U25" i="2"/>
  <c r="V24" i="2"/>
  <c r="U24" i="2"/>
  <c r="V23" i="2"/>
  <c r="U23" i="2"/>
  <c r="V22" i="2"/>
  <c r="U22" i="2"/>
  <c r="V21" i="2"/>
  <c r="U21" i="2"/>
  <c r="V20" i="2"/>
  <c r="U20" i="2"/>
  <c r="V19" i="2"/>
  <c r="U19" i="2"/>
  <c r="V18" i="2"/>
  <c r="U18" i="2"/>
  <c r="V17" i="2"/>
  <c r="U17" i="2"/>
  <c r="V16" i="2"/>
  <c r="U16" i="2"/>
  <c r="V15" i="2"/>
  <c r="U15" i="2"/>
  <c r="V14" i="2"/>
  <c r="U14" i="2"/>
  <c r="V13" i="2"/>
  <c r="U13" i="2"/>
  <c r="V12" i="2"/>
  <c r="V11" i="2"/>
  <c r="V10" i="2"/>
  <c r="V9" i="2"/>
  <c r="V8" i="2"/>
  <c r="V7" i="2"/>
  <c r="V6" i="2"/>
  <c r="V5" i="2"/>
  <c r="U12" i="2"/>
  <c r="U11" i="2"/>
  <c r="U10" i="2"/>
  <c r="U9" i="2"/>
  <c r="U8" i="2"/>
  <c r="U7" i="2"/>
  <c r="U6" i="2"/>
  <c r="U5" i="2"/>
  <c r="V4" i="2"/>
  <c r="V3" i="2"/>
  <c r="U4" i="2"/>
  <c r="U3" i="2"/>
  <c r="K27" i="5"/>
  <c r="AK62" i="2"/>
  <c r="AJ62" i="2"/>
  <c r="AF62" i="2"/>
  <c r="AE62" i="2"/>
  <c r="AK61" i="2"/>
  <c r="AJ61" i="2"/>
  <c r="AF61" i="2"/>
  <c r="AE61" i="2"/>
  <c r="AK60" i="2"/>
  <c r="AJ60" i="2"/>
  <c r="AF60" i="2"/>
  <c r="AE60" i="2"/>
  <c r="AK59" i="2"/>
  <c r="AJ59" i="2"/>
  <c r="AF59" i="2"/>
  <c r="AE59" i="2"/>
  <c r="AK58" i="2"/>
  <c r="AJ58" i="2"/>
  <c r="AF58" i="2"/>
  <c r="AE58" i="2"/>
  <c r="AK57" i="2"/>
  <c r="AJ57" i="2"/>
  <c r="AF57" i="2"/>
  <c r="AE57" i="2"/>
  <c r="AK56" i="2"/>
  <c r="AJ56" i="2"/>
  <c r="AF56" i="2"/>
  <c r="AE56" i="2"/>
  <c r="AK55" i="2"/>
  <c r="AJ55" i="2"/>
  <c r="AF55" i="2"/>
  <c r="AE55" i="2"/>
  <c r="AK54" i="2"/>
  <c r="AJ54" i="2"/>
  <c r="AF54" i="2"/>
  <c r="AE54" i="2"/>
  <c r="AK53" i="2"/>
  <c r="AJ53" i="2"/>
  <c r="AF53" i="2"/>
  <c r="AE53" i="2"/>
  <c r="AK52" i="2"/>
  <c r="AJ52" i="2"/>
  <c r="AF52" i="2"/>
  <c r="AE52" i="2"/>
  <c r="AK51" i="2"/>
  <c r="AJ51" i="2"/>
  <c r="AF51" i="2"/>
  <c r="AE51" i="2"/>
  <c r="AK50" i="2"/>
  <c r="AJ50" i="2"/>
  <c r="AF50" i="2"/>
  <c r="AE50" i="2"/>
  <c r="AK49" i="2"/>
  <c r="AJ49" i="2"/>
  <c r="AF49" i="2"/>
  <c r="AE49" i="2"/>
  <c r="AK48" i="2"/>
  <c r="AJ48" i="2"/>
  <c r="AF48" i="2"/>
  <c r="AE48" i="2"/>
  <c r="AK47" i="2"/>
  <c r="AJ47" i="2"/>
  <c r="AF47" i="2"/>
  <c r="AE47" i="2"/>
  <c r="AK46" i="2"/>
  <c r="AJ46" i="2"/>
  <c r="AF46" i="2"/>
  <c r="AE46" i="2"/>
  <c r="AK45" i="2"/>
  <c r="AJ45" i="2"/>
  <c r="AF45" i="2"/>
  <c r="AE45" i="2"/>
  <c r="AK44" i="2"/>
  <c r="AJ44" i="2"/>
  <c r="AF44" i="2"/>
  <c r="AE44" i="2"/>
  <c r="AK43" i="2"/>
  <c r="AJ43" i="2"/>
  <c r="AF43" i="2"/>
  <c r="AE43" i="2"/>
  <c r="AK42" i="2"/>
  <c r="AJ42" i="2"/>
  <c r="AF42" i="2"/>
  <c r="AE42" i="2"/>
  <c r="AK41" i="2"/>
  <c r="AJ41" i="2"/>
  <c r="AF41" i="2"/>
  <c r="AE41" i="2"/>
  <c r="AK40" i="2"/>
  <c r="AJ40" i="2"/>
  <c r="AF40" i="2"/>
  <c r="AE40" i="2"/>
  <c r="AK39" i="2"/>
  <c r="AJ39" i="2"/>
  <c r="AF39" i="2"/>
  <c r="AE39" i="2"/>
  <c r="AK38" i="2"/>
  <c r="AJ38" i="2"/>
  <c r="AF38" i="2"/>
  <c r="AE38" i="2"/>
  <c r="AK37" i="2"/>
  <c r="AJ37" i="2"/>
  <c r="AF37" i="2"/>
  <c r="AE37" i="2"/>
  <c r="AK36" i="2"/>
  <c r="AJ36" i="2"/>
  <c r="AF36" i="2"/>
  <c r="AE36" i="2"/>
  <c r="AK35" i="2"/>
  <c r="AJ35" i="2"/>
  <c r="AF35" i="2"/>
  <c r="AE35" i="2"/>
  <c r="AK34" i="2"/>
  <c r="AJ34" i="2"/>
  <c r="AF34" i="2"/>
  <c r="AE34" i="2"/>
  <c r="AK33" i="2"/>
  <c r="AJ33" i="2"/>
  <c r="AF33" i="2"/>
  <c r="AE33" i="2"/>
  <c r="AK32" i="2"/>
  <c r="AJ32" i="2"/>
  <c r="AF32" i="2"/>
  <c r="AE32" i="2"/>
  <c r="AK31" i="2"/>
  <c r="AJ31" i="2"/>
  <c r="AF31" i="2"/>
  <c r="AE31" i="2"/>
  <c r="AK30" i="2"/>
  <c r="AJ30" i="2"/>
  <c r="AF30" i="2"/>
  <c r="AE30" i="2"/>
  <c r="AK29" i="2"/>
  <c r="AJ29" i="2"/>
  <c r="AF29" i="2"/>
  <c r="AE29" i="2"/>
  <c r="AK28" i="2"/>
  <c r="AJ28" i="2"/>
  <c r="AF28" i="2"/>
  <c r="AE28" i="2"/>
  <c r="Q62" i="2"/>
  <c r="P62" i="2"/>
  <c r="Q61" i="2"/>
  <c r="P61" i="2"/>
  <c r="Q60" i="2"/>
  <c r="P60" i="2"/>
  <c r="Q59" i="2"/>
  <c r="P59" i="2"/>
  <c r="Q58" i="2"/>
  <c r="P58" i="2"/>
  <c r="Q57" i="2"/>
  <c r="P57" i="2"/>
  <c r="Q56" i="2"/>
  <c r="P56" i="2"/>
  <c r="Q55" i="2"/>
  <c r="P55" i="2"/>
  <c r="Q54" i="2"/>
  <c r="P54" i="2"/>
  <c r="Q53" i="2"/>
  <c r="P53" i="2"/>
  <c r="Q52" i="2"/>
  <c r="P52" i="2"/>
  <c r="Q51" i="2"/>
  <c r="P51" i="2"/>
  <c r="Q50" i="2"/>
  <c r="P50" i="2"/>
  <c r="Q49" i="2"/>
  <c r="P49" i="2"/>
  <c r="Q48" i="2"/>
  <c r="P48" i="2"/>
  <c r="Q47" i="2"/>
  <c r="P47" i="2"/>
  <c r="Q46" i="2"/>
  <c r="P46" i="2"/>
  <c r="Q45" i="2"/>
  <c r="P45" i="2"/>
  <c r="Q44" i="2"/>
  <c r="P44" i="2"/>
  <c r="Q43" i="2"/>
  <c r="P43" i="2"/>
  <c r="Q42" i="2"/>
  <c r="P42" i="2"/>
  <c r="Q41" i="2"/>
  <c r="P41" i="2"/>
  <c r="Q40" i="2"/>
  <c r="P40" i="2"/>
  <c r="Q39" i="2"/>
  <c r="P39" i="2"/>
  <c r="Q38" i="2"/>
  <c r="P38" i="2"/>
  <c r="Q37" i="2"/>
  <c r="P37" i="2"/>
  <c r="Q36" i="2"/>
  <c r="P36" i="2"/>
  <c r="Q35" i="2"/>
  <c r="P35" i="2"/>
  <c r="Q34" i="2"/>
  <c r="P34" i="2"/>
  <c r="Q33" i="2"/>
  <c r="P33" i="2"/>
  <c r="Q32" i="2"/>
  <c r="P32" i="2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Q23" i="2"/>
  <c r="P23" i="2"/>
  <c r="Q22" i="2"/>
  <c r="P22" i="2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Q13" i="2"/>
  <c r="P13" i="2"/>
  <c r="Q12" i="2"/>
  <c r="P12" i="2"/>
  <c r="Q11" i="2"/>
  <c r="P11" i="2"/>
  <c r="Q10" i="2"/>
  <c r="P10" i="2"/>
  <c r="Q9" i="2"/>
  <c r="P9" i="2"/>
  <c r="Q8" i="2"/>
  <c r="P8" i="2"/>
  <c r="Q7" i="2"/>
  <c r="P7" i="2"/>
  <c r="Q6" i="2"/>
  <c r="P6" i="2"/>
  <c r="Q5" i="2"/>
  <c r="P5" i="2"/>
  <c r="Q4" i="2"/>
  <c r="P4" i="2"/>
  <c r="Q3" i="2"/>
  <c r="P3" i="2"/>
  <c r="AK27" i="2"/>
  <c r="AJ27" i="2"/>
  <c r="AK26" i="2"/>
  <c r="AJ26" i="2"/>
  <c r="AK25" i="2"/>
  <c r="AJ25" i="2"/>
  <c r="AK24" i="2"/>
  <c r="AJ24" i="2"/>
  <c r="AK23" i="2"/>
  <c r="AJ23" i="2"/>
  <c r="AK22" i="2"/>
  <c r="AJ22" i="2"/>
  <c r="AK21" i="2"/>
  <c r="AJ21" i="2"/>
  <c r="AK20" i="2"/>
  <c r="AJ20" i="2"/>
  <c r="AK19" i="2"/>
  <c r="AJ19" i="2"/>
  <c r="AK18" i="2"/>
  <c r="AJ18" i="2"/>
  <c r="AK17" i="2"/>
  <c r="AJ17" i="2"/>
  <c r="AK16" i="2"/>
  <c r="AJ16" i="2"/>
  <c r="AK15" i="2"/>
  <c r="AJ15" i="2"/>
  <c r="AK14" i="2"/>
  <c r="AJ14" i="2"/>
  <c r="AK13" i="2"/>
  <c r="AJ13" i="2"/>
  <c r="AK12" i="2"/>
  <c r="AJ12" i="2"/>
  <c r="AK11" i="2"/>
  <c r="AJ11" i="2"/>
  <c r="AK10" i="2"/>
  <c r="AJ10" i="2"/>
  <c r="AK9" i="2"/>
  <c r="AJ9" i="2"/>
  <c r="AK8" i="2"/>
  <c r="AJ8" i="2"/>
  <c r="AF27" i="2"/>
  <c r="AE27" i="2"/>
  <c r="AF26" i="2"/>
  <c r="AE26" i="2"/>
  <c r="AF25" i="2"/>
  <c r="AE25" i="2"/>
  <c r="AF24" i="2"/>
  <c r="AE24" i="2"/>
  <c r="AF23" i="2"/>
  <c r="AE23" i="2"/>
  <c r="AF22" i="2"/>
  <c r="AE22" i="2"/>
  <c r="AF21" i="2"/>
  <c r="AE21" i="2"/>
  <c r="AF20" i="2"/>
  <c r="AE20" i="2"/>
  <c r="AF19" i="2"/>
  <c r="AE19" i="2"/>
  <c r="AF18" i="2"/>
  <c r="AE18" i="2"/>
  <c r="AF17" i="2"/>
  <c r="AE17" i="2"/>
  <c r="AF16" i="2"/>
  <c r="AE16" i="2"/>
  <c r="AF15" i="2"/>
  <c r="AE15" i="2"/>
  <c r="AF14" i="2"/>
  <c r="AE14" i="2"/>
  <c r="AF13" i="2"/>
  <c r="AE13" i="2"/>
  <c r="AF12" i="2"/>
  <c r="AE12" i="2"/>
  <c r="AF11" i="2"/>
  <c r="AE11" i="2"/>
  <c r="AF10" i="2"/>
  <c r="AE10" i="2"/>
  <c r="AF9" i="2"/>
  <c r="AE9" i="2"/>
  <c r="AF8" i="2"/>
  <c r="AE8" i="2"/>
  <c r="AK7" i="2"/>
  <c r="AJ7" i="2"/>
  <c r="AK6" i="2"/>
  <c r="AJ6" i="2"/>
  <c r="AK5" i="2"/>
  <c r="AJ5" i="2"/>
  <c r="AK4" i="2"/>
  <c r="AJ4" i="2"/>
  <c r="AF7" i="2"/>
  <c r="AE7" i="2"/>
  <c r="AF6" i="2"/>
  <c r="AE6" i="2"/>
  <c r="AF5" i="2"/>
  <c r="AE5" i="2"/>
  <c r="AF4" i="2"/>
  <c r="AE4" i="2"/>
  <c r="AK3" i="2"/>
  <c r="AJ3" i="2"/>
  <c r="AF3" i="2"/>
  <c r="AE3" i="2"/>
  <c r="Q5" i="1" l="1"/>
  <c r="Q4" i="4"/>
  <c r="R4" i="4"/>
  <c r="Q5" i="4"/>
  <c r="R5" i="4"/>
  <c r="Q6" i="4"/>
  <c r="R6" i="4"/>
  <c r="Q7" i="4"/>
  <c r="R7" i="4"/>
  <c r="Q8" i="4"/>
  <c r="R8" i="4"/>
  <c r="Q9" i="4"/>
  <c r="R9" i="4"/>
  <c r="Q10" i="4"/>
  <c r="R10" i="4"/>
  <c r="Q11" i="4"/>
  <c r="R11" i="4"/>
  <c r="Q12" i="4"/>
  <c r="R12" i="4"/>
  <c r="Q13" i="4"/>
  <c r="R13" i="4"/>
  <c r="Q14" i="4"/>
  <c r="R14" i="4"/>
  <c r="Q15" i="4"/>
  <c r="R15" i="4"/>
  <c r="Q16" i="4"/>
  <c r="R16" i="4"/>
  <c r="Q17" i="4"/>
  <c r="R17" i="4"/>
  <c r="Q18" i="4"/>
  <c r="R18" i="4"/>
  <c r="Q19" i="4"/>
  <c r="R19" i="4"/>
  <c r="Q20" i="4"/>
  <c r="R20" i="4"/>
  <c r="Q21" i="4"/>
  <c r="R21" i="4"/>
  <c r="Q22" i="4"/>
  <c r="R22" i="4"/>
  <c r="Q23" i="4"/>
  <c r="R23" i="4"/>
  <c r="Q24" i="4"/>
  <c r="R24" i="4"/>
  <c r="Q25" i="4"/>
  <c r="R25" i="4"/>
  <c r="Q26" i="4"/>
  <c r="R26" i="4"/>
  <c r="Q27" i="4"/>
  <c r="R27" i="4"/>
  <c r="Q28" i="4"/>
  <c r="R28" i="4"/>
  <c r="Q29" i="4"/>
  <c r="R29" i="4"/>
  <c r="Q30" i="4"/>
  <c r="R30" i="4"/>
  <c r="Q31" i="4"/>
  <c r="R31" i="4"/>
  <c r="Q32" i="4"/>
  <c r="R32" i="4"/>
  <c r="Q33" i="4"/>
  <c r="R33" i="4"/>
  <c r="Q34" i="4"/>
  <c r="R34" i="4"/>
  <c r="Q35" i="4"/>
  <c r="R35" i="4"/>
  <c r="Q36" i="4"/>
  <c r="R36" i="4"/>
  <c r="Q37" i="4"/>
  <c r="R37" i="4"/>
  <c r="Q38" i="4"/>
  <c r="R38" i="4"/>
  <c r="Q39" i="4"/>
  <c r="R39" i="4"/>
  <c r="Q40" i="4"/>
  <c r="R40" i="4"/>
  <c r="Q41" i="4"/>
  <c r="R41" i="4"/>
  <c r="Q42" i="4"/>
  <c r="R42" i="4"/>
  <c r="Q43" i="4"/>
  <c r="R43" i="4"/>
  <c r="Q44" i="4"/>
  <c r="R44" i="4"/>
  <c r="Q45" i="4"/>
  <c r="R45" i="4"/>
  <c r="Q46" i="4"/>
  <c r="R46" i="4"/>
  <c r="Q47" i="4"/>
  <c r="R47" i="4"/>
  <c r="Q48" i="4"/>
  <c r="R48" i="4"/>
  <c r="Q49" i="4"/>
  <c r="R49" i="4"/>
  <c r="Q50" i="4"/>
  <c r="R50" i="4"/>
  <c r="Q51" i="4"/>
  <c r="R51" i="4"/>
  <c r="Q52" i="4"/>
  <c r="R52" i="4"/>
  <c r="Q53" i="4"/>
  <c r="R53" i="4"/>
  <c r="Q54" i="4"/>
  <c r="R54" i="4"/>
  <c r="Q55" i="4"/>
  <c r="R55" i="4"/>
  <c r="Q56" i="4"/>
  <c r="R56" i="4"/>
  <c r="Q57" i="4"/>
  <c r="R57" i="4"/>
  <c r="Q58" i="4"/>
  <c r="R58" i="4"/>
  <c r="Q59" i="4"/>
  <c r="R59" i="4"/>
  <c r="Q60" i="4"/>
  <c r="R60" i="4"/>
  <c r="Q61" i="4"/>
  <c r="R61" i="4"/>
  <c r="Q62" i="4"/>
  <c r="R62" i="4"/>
  <c r="Q63" i="4"/>
  <c r="R63" i="4"/>
  <c r="Q64" i="4"/>
  <c r="R64" i="4"/>
  <c r="Q65" i="4"/>
  <c r="R65" i="4"/>
  <c r="Q66" i="4"/>
  <c r="R66" i="4"/>
  <c r="Q67" i="4"/>
  <c r="R67" i="4"/>
  <c r="Q68" i="4"/>
  <c r="R68" i="4"/>
  <c r="Q69" i="4"/>
  <c r="R69" i="4"/>
  <c r="Q70" i="4"/>
  <c r="R70" i="4"/>
  <c r="Q71" i="4"/>
  <c r="R71" i="4"/>
  <c r="Q72" i="4"/>
  <c r="R72" i="4"/>
  <c r="Q73" i="4"/>
  <c r="R73" i="4"/>
  <c r="Q74" i="4"/>
  <c r="R74" i="4"/>
  <c r="Q75" i="4"/>
  <c r="R75" i="4"/>
  <c r="Q76" i="4"/>
  <c r="R76" i="4"/>
  <c r="Q77" i="4"/>
  <c r="R77" i="4"/>
  <c r="Q78" i="4"/>
  <c r="R78" i="4"/>
  <c r="Q79" i="4"/>
  <c r="R79" i="4"/>
  <c r="Q80" i="4"/>
  <c r="R80" i="4"/>
  <c r="Q81" i="4"/>
  <c r="R81" i="4"/>
  <c r="Q82" i="4"/>
  <c r="R82" i="4"/>
  <c r="Q83" i="4"/>
  <c r="R83" i="4"/>
  <c r="Q84" i="4"/>
  <c r="R84" i="4"/>
  <c r="Q85" i="4"/>
  <c r="R85" i="4"/>
  <c r="Q86" i="4"/>
  <c r="R86" i="4"/>
  <c r="Q87" i="4"/>
  <c r="R87" i="4"/>
  <c r="Q88" i="4"/>
  <c r="R88" i="4"/>
  <c r="Q89" i="4"/>
  <c r="R89" i="4"/>
  <c r="Q90" i="4"/>
  <c r="R90" i="4"/>
  <c r="Q91" i="4"/>
  <c r="R91" i="4"/>
  <c r="Q92" i="4"/>
  <c r="R92" i="4"/>
  <c r="Q93" i="4"/>
  <c r="R93" i="4"/>
  <c r="Q94" i="4"/>
  <c r="R94" i="4"/>
  <c r="Q95" i="4"/>
  <c r="R95" i="4"/>
  <c r="Q96" i="4"/>
  <c r="R96" i="4"/>
  <c r="Q97" i="4"/>
  <c r="R97" i="4"/>
  <c r="Q98" i="4"/>
  <c r="R98" i="4"/>
  <c r="Q99" i="4"/>
  <c r="R99" i="4"/>
  <c r="Q100" i="4"/>
  <c r="R100" i="4"/>
  <c r="Q101" i="4"/>
  <c r="R101" i="4"/>
  <c r="Q102" i="4"/>
  <c r="R102" i="4"/>
  <c r="Q103" i="4"/>
  <c r="R103" i="4"/>
  <c r="Q104" i="4"/>
  <c r="R104" i="4"/>
  <c r="Q105" i="4"/>
  <c r="R105" i="4"/>
  <c r="Q106" i="4"/>
  <c r="R106" i="4"/>
  <c r="Q107" i="4"/>
  <c r="R107" i="4"/>
  <c r="Q108" i="4"/>
  <c r="R108" i="4"/>
  <c r="Q109" i="4"/>
  <c r="R109" i="4"/>
  <c r="Q110" i="4"/>
  <c r="R110" i="4"/>
  <c r="Q111" i="4"/>
  <c r="R111" i="4"/>
  <c r="Q112" i="4"/>
  <c r="R112" i="4"/>
  <c r="Q113" i="4"/>
  <c r="R113" i="4"/>
  <c r="Q114" i="4"/>
  <c r="R114" i="4"/>
  <c r="Q115" i="4"/>
  <c r="R115" i="4"/>
  <c r="Q116" i="4"/>
  <c r="R116" i="4"/>
  <c r="Q117" i="4"/>
  <c r="R117" i="4"/>
  <c r="Q118" i="4"/>
  <c r="R118" i="4"/>
  <c r="Q119" i="4"/>
  <c r="R119" i="4"/>
  <c r="Q120" i="4"/>
  <c r="R120" i="4"/>
  <c r="Q121" i="4"/>
  <c r="R121" i="4"/>
  <c r="Q122" i="4"/>
  <c r="R122" i="4"/>
  <c r="Q123" i="4"/>
  <c r="R123" i="4"/>
  <c r="Q124" i="4"/>
  <c r="R124" i="4"/>
  <c r="Q125" i="4"/>
  <c r="R125" i="4"/>
  <c r="Q126" i="4"/>
  <c r="R126" i="4"/>
  <c r="Q127" i="4"/>
  <c r="R127" i="4"/>
  <c r="Q128" i="4"/>
  <c r="R128" i="4"/>
  <c r="Q129" i="4"/>
  <c r="R129" i="4"/>
  <c r="Q130" i="4"/>
  <c r="R130" i="4"/>
  <c r="Q131" i="4"/>
  <c r="R131" i="4"/>
  <c r="Q132" i="4"/>
  <c r="R132" i="4"/>
  <c r="Q133" i="4"/>
  <c r="R133" i="4"/>
  <c r="Q134" i="4"/>
  <c r="R134" i="4"/>
  <c r="Q135" i="4"/>
  <c r="R135" i="4"/>
  <c r="Q136" i="4"/>
  <c r="R136" i="4"/>
  <c r="Q137" i="4"/>
  <c r="R137" i="4"/>
  <c r="Q138" i="4"/>
  <c r="R138" i="4"/>
  <c r="Q139" i="4"/>
  <c r="R139" i="4"/>
  <c r="Q140" i="4"/>
  <c r="R140" i="4"/>
  <c r="Q141" i="4"/>
  <c r="R141" i="4"/>
  <c r="Q142" i="4"/>
  <c r="R142" i="4"/>
  <c r="Q143" i="4"/>
  <c r="R143" i="4"/>
  <c r="Q144" i="4"/>
  <c r="R144" i="4"/>
  <c r="Q145" i="4"/>
  <c r="R145" i="4"/>
  <c r="Q146" i="4"/>
  <c r="R146" i="4"/>
  <c r="Q147" i="4"/>
  <c r="R147" i="4"/>
  <c r="Q148" i="4"/>
  <c r="R148" i="4"/>
  <c r="Q149" i="4"/>
  <c r="R149" i="4"/>
  <c r="Q150" i="4"/>
  <c r="R150" i="4"/>
  <c r="Q151" i="4"/>
  <c r="R151" i="4"/>
  <c r="Q152" i="4"/>
  <c r="R152" i="4"/>
  <c r="Q153" i="4"/>
  <c r="R153" i="4"/>
  <c r="Q154" i="4"/>
  <c r="R154" i="4"/>
  <c r="Q155" i="4"/>
  <c r="R155" i="4"/>
  <c r="Q156" i="4"/>
  <c r="R156" i="4"/>
  <c r="Q157" i="4"/>
  <c r="R157" i="4"/>
  <c r="Q158" i="4"/>
  <c r="R158" i="4"/>
  <c r="Q159" i="4"/>
  <c r="R159" i="4"/>
  <c r="Q160" i="4"/>
  <c r="R160" i="4"/>
  <c r="Q161" i="4"/>
  <c r="R161" i="4"/>
  <c r="Q162" i="4"/>
  <c r="R162" i="4"/>
  <c r="Q163" i="4"/>
  <c r="R163" i="4"/>
  <c r="Q164" i="4"/>
  <c r="R164" i="4"/>
  <c r="Q165" i="4"/>
  <c r="R165" i="4"/>
  <c r="Q166" i="4"/>
  <c r="R166" i="4"/>
  <c r="Q167" i="4"/>
  <c r="R167" i="4"/>
  <c r="Q168" i="4"/>
  <c r="R168" i="4"/>
  <c r="Q169" i="4"/>
  <c r="R169" i="4"/>
  <c r="Q170" i="4"/>
  <c r="R170" i="4"/>
  <c r="Q171" i="4"/>
  <c r="R171" i="4"/>
  <c r="Q172" i="4"/>
  <c r="R172" i="4"/>
  <c r="Q173" i="4"/>
  <c r="R173" i="4"/>
  <c r="Q174" i="4"/>
  <c r="R174" i="4"/>
  <c r="Q175" i="4"/>
  <c r="R175" i="4"/>
  <c r="Q176" i="4"/>
  <c r="R176" i="4"/>
  <c r="Q177" i="4"/>
  <c r="R177" i="4"/>
  <c r="Q178" i="4"/>
  <c r="R178" i="4"/>
  <c r="Q179" i="4"/>
  <c r="R179" i="4"/>
  <c r="Q180" i="4"/>
  <c r="R180" i="4"/>
  <c r="Q181" i="4"/>
  <c r="R181" i="4"/>
  <c r="Q182" i="4"/>
  <c r="R182" i="4"/>
  <c r="R3" i="4"/>
  <c r="Q3" i="4"/>
  <c r="AB3" i="4"/>
  <c r="AA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3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W4" i="4"/>
  <c r="W3" i="4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8" i="5"/>
  <c r="K29" i="5"/>
  <c r="K30" i="5"/>
  <c r="K31" i="5"/>
  <c r="K32" i="5"/>
  <c r="K33" i="5"/>
  <c r="K34" i="5"/>
  <c r="K35" i="5"/>
  <c r="K36" i="5"/>
  <c r="K37" i="5"/>
  <c r="K38" i="5"/>
  <c r="K3" i="5"/>
  <c r="AO4" i="1"/>
  <c r="AP4" i="1"/>
  <c r="AO5" i="1"/>
  <c r="AP5" i="1"/>
  <c r="AO6" i="1"/>
  <c r="AP6" i="1"/>
  <c r="AO7" i="1"/>
  <c r="AP7" i="1"/>
  <c r="AO8" i="1"/>
  <c r="AP8" i="1"/>
  <c r="AO9" i="1"/>
  <c r="AP9" i="1"/>
  <c r="AO10" i="1"/>
  <c r="AP10" i="1"/>
  <c r="AO11" i="1"/>
  <c r="AP11" i="1"/>
  <c r="AO12" i="1"/>
  <c r="AP12" i="1"/>
  <c r="AO13" i="1"/>
  <c r="AP13" i="1"/>
  <c r="AO14" i="1"/>
  <c r="AP14" i="1"/>
  <c r="AO15" i="1"/>
  <c r="AP15" i="1"/>
  <c r="AO16" i="1"/>
  <c r="AP16" i="1"/>
  <c r="AO17" i="1"/>
  <c r="AP17" i="1"/>
  <c r="AO18" i="1"/>
  <c r="AP18" i="1"/>
  <c r="AO19" i="1"/>
  <c r="AP19" i="1"/>
  <c r="AO20" i="1"/>
  <c r="AP20" i="1"/>
  <c r="AO21" i="1"/>
  <c r="AP21" i="1"/>
  <c r="AO22" i="1"/>
  <c r="AP22" i="1"/>
  <c r="AO23" i="1"/>
  <c r="AP23" i="1"/>
  <c r="AO24" i="1"/>
  <c r="AP24" i="1"/>
  <c r="AO25" i="1"/>
  <c r="AP25" i="1"/>
  <c r="AO26" i="1"/>
  <c r="AP26" i="1"/>
  <c r="AO27" i="1"/>
  <c r="AP27" i="1"/>
  <c r="AO28" i="1"/>
  <c r="AP28" i="1"/>
  <c r="AO29" i="1"/>
  <c r="AP29" i="1"/>
  <c r="AO30" i="1"/>
  <c r="AP30" i="1"/>
  <c r="AO31" i="1"/>
  <c r="AP31" i="1"/>
  <c r="AO32" i="1"/>
  <c r="AP32" i="1"/>
  <c r="AO33" i="1"/>
  <c r="AP33" i="1"/>
  <c r="AO34" i="1"/>
  <c r="AP34" i="1"/>
  <c r="AO35" i="1"/>
  <c r="AP35" i="1"/>
  <c r="AO36" i="1"/>
  <c r="AP36" i="1"/>
  <c r="AO37" i="1"/>
  <c r="AP37" i="1"/>
  <c r="AO38" i="1"/>
  <c r="AP38" i="1"/>
  <c r="AO39" i="1"/>
  <c r="AP39" i="1"/>
  <c r="AO40" i="1"/>
  <c r="AP40" i="1"/>
  <c r="AO41" i="1"/>
  <c r="AP41" i="1"/>
  <c r="AO42" i="1"/>
  <c r="AP42" i="1"/>
  <c r="AO43" i="1"/>
  <c r="AP43" i="1"/>
  <c r="AO44" i="1"/>
  <c r="AP44" i="1"/>
  <c r="AO45" i="1"/>
  <c r="AP45" i="1"/>
  <c r="AO46" i="1"/>
  <c r="AP46" i="1"/>
  <c r="AO47" i="1"/>
  <c r="AP47" i="1"/>
  <c r="AO48" i="1"/>
  <c r="AP48" i="1"/>
  <c r="AO49" i="1"/>
  <c r="AP49" i="1"/>
  <c r="AO50" i="1"/>
  <c r="AP50" i="1"/>
  <c r="AO51" i="1"/>
  <c r="AP51" i="1"/>
  <c r="AO52" i="1"/>
  <c r="AP52" i="1"/>
  <c r="AO53" i="1"/>
  <c r="AP53" i="1"/>
  <c r="AO54" i="1"/>
  <c r="AP54" i="1"/>
  <c r="AO55" i="1"/>
  <c r="AP55" i="1"/>
  <c r="AO56" i="1"/>
  <c r="AP56" i="1"/>
  <c r="AO57" i="1"/>
  <c r="AP57" i="1"/>
  <c r="AO58" i="1"/>
  <c r="AP58" i="1"/>
  <c r="AO59" i="1"/>
  <c r="AP59" i="1"/>
  <c r="AO60" i="1"/>
  <c r="AP60" i="1"/>
  <c r="AO61" i="1"/>
  <c r="AP61" i="1"/>
  <c r="AO62" i="1"/>
  <c r="AP62" i="1"/>
  <c r="AP3" i="1"/>
  <c r="AO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3" i="1"/>
  <c r="V3" i="1"/>
  <c r="AA3" i="1"/>
  <c r="Q4" i="1"/>
  <c r="V4" i="1"/>
  <c r="AA4" i="1"/>
  <c r="V5" i="1"/>
  <c r="AA5" i="1"/>
  <c r="Q6" i="1"/>
  <c r="V6" i="1"/>
  <c r="AA6" i="1"/>
  <c r="Q7" i="1"/>
  <c r="V7" i="1"/>
  <c r="AA7" i="1"/>
  <c r="Q8" i="1"/>
  <c r="V8" i="1"/>
  <c r="AA8" i="1"/>
  <c r="Q9" i="1"/>
  <c r="V9" i="1"/>
  <c r="AA9" i="1"/>
  <c r="Q10" i="1"/>
  <c r="V10" i="1"/>
  <c r="AA10" i="1"/>
  <c r="Q11" i="1"/>
  <c r="V11" i="1"/>
  <c r="AA11" i="1"/>
  <c r="Q12" i="1"/>
  <c r="V12" i="1"/>
  <c r="AA12" i="1"/>
  <c r="Q13" i="1"/>
  <c r="V13" i="1"/>
  <c r="AA13" i="1"/>
  <c r="Q14" i="1"/>
  <c r="V14" i="1"/>
  <c r="AA14" i="1"/>
  <c r="Q15" i="1"/>
  <c r="V15" i="1"/>
  <c r="AA15" i="1"/>
  <c r="Q16" i="1"/>
  <c r="V16" i="1"/>
  <c r="AA16" i="1"/>
  <c r="Q17" i="1"/>
  <c r="V17" i="1"/>
  <c r="AA17" i="1"/>
  <c r="Q18" i="1"/>
  <c r="V18" i="1"/>
  <c r="AA18" i="1"/>
  <c r="Q19" i="1"/>
  <c r="V19" i="1"/>
  <c r="AA19" i="1"/>
  <c r="Q20" i="1"/>
  <c r="V20" i="1"/>
  <c r="AA20" i="1"/>
  <c r="Q21" i="1"/>
  <c r="V21" i="1"/>
  <c r="AA21" i="1"/>
  <c r="Q22" i="1"/>
  <c r="V22" i="1"/>
  <c r="AA22" i="1"/>
  <c r="Q23" i="1"/>
  <c r="V23" i="1"/>
  <c r="AA23" i="1"/>
  <c r="Q24" i="1"/>
  <c r="V24" i="1"/>
  <c r="AA24" i="1"/>
  <c r="Q25" i="1"/>
  <c r="V25" i="1"/>
  <c r="AA25" i="1"/>
  <c r="Q26" i="1"/>
  <c r="V26" i="1"/>
  <c r="AA26" i="1"/>
  <c r="Q27" i="1"/>
  <c r="V27" i="1"/>
  <c r="AA27" i="1"/>
  <c r="Q28" i="1"/>
  <c r="V28" i="1"/>
  <c r="AA28" i="1"/>
  <c r="Q29" i="1"/>
  <c r="V29" i="1"/>
  <c r="AA29" i="1"/>
  <c r="Q30" i="1"/>
  <c r="V30" i="1"/>
  <c r="AA30" i="1"/>
  <c r="Q31" i="1"/>
  <c r="V31" i="1"/>
  <c r="AA31" i="1"/>
  <c r="Q32" i="1"/>
  <c r="V32" i="1"/>
  <c r="AA32" i="1"/>
  <c r="Q33" i="1"/>
  <c r="V33" i="1"/>
  <c r="AA33" i="1"/>
  <c r="Q34" i="1"/>
  <c r="V34" i="1"/>
  <c r="AA34" i="1"/>
  <c r="Q35" i="1"/>
  <c r="V35" i="1"/>
  <c r="AA35" i="1"/>
  <c r="Q36" i="1"/>
  <c r="V36" i="1"/>
  <c r="AA36" i="1"/>
  <c r="Q37" i="1"/>
  <c r="V37" i="1"/>
  <c r="AA37" i="1"/>
  <c r="Q38" i="1"/>
  <c r="V38" i="1"/>
  <c r="AA38" i="1"/>
  <c r="Q39" i="1"/>
  <c r="V39" i="1"/>
  <c r="AA39" i="1"/>
  <c r="Q40" i="1"/>
  <c r="V40" i="1"/>
  <c r="AA40" i="1"/>
  <c r="Q41" i="1"/>
  <c r="V41" i="1"/>
  <c r="AA41" i="1"/>
  <c r="Q42" i="1"/>
  <c r="V42" i="1"/>
  <c r="AA42" i="1"/>
  <c r="Q43" i="1"/>
  <c r="V43" i="1"/>
  <c r="AA43" i="1"/>
  <c r="Q44" i="1"/>
  <c r="V44" i="1"/>
  <c r="AA44" i="1"/>
  <c r="Q45" i="1"/>
  <c r="V45" i="1"/>
  <c r="AA45" i="1"/>
  <c r="Q46" i="1"/>
  <c r="V46" i="1"/>
  <c r="AA46" i="1"/>
  <c r="Q47" i="1"/>
  <c r="V47" i="1"/>
  <c r="AA47" i="1"/>
  <c r="Q48" i="1"/>
  <c r="V48" i="1"/>
  <c r="AA48" i="1"/>
  <c r="Q49" i="1"/>
  <c r="V49" i="1"/>
  <c r="AA49" i="1"/>
  <c r="Q50" i="1"/>
  <c r="V50" i="1"/>
  <c r="AA50" i="1"/>
  <c r="Q51" i="1"/>
  <c r="V51" i="1"/>
  <c r="AA51" i="1"/>
  <c r="Q52" i="1"/>
  <c r="V52" i="1"/>
  <c r="AA52" i="1"/>
  <c r="Q53" i="1"/>
  <c r="V53" i="1"/>
  <c r="AA53" i="1"/>
  <c r="Q54" i="1"/>
  <c r="V54" i="1"/>
  <c r="AA54" i="1"/>
  <c r="Q55" i="1"/>
  <c r="V55" i="1"/>
  <c r="AA55" i="1"/>
  <c r="Q56" i="1"/>
  <c r="V56" i="1"/>
  <c r="AA56" i="1"/>
  <c r="Q57" i="1"/>
  <c r="V57" i="1"/>
  <c r="AA57" i="1"/>
  <c r="Q58" i="1"/>
  <c r="V58" i="1"/>
  <c r="AA58" i="1"/>
  <c r="Q59" i="1"/>
  <c r="V59" i="1"/>
  <c r="AA59" i="1"/>
  <c r="Q60" i="1"/>
  <c r="V60" i="1"/>
  <c r="AA60" i="1"/>
  <c r="Q61" i="1"/>
  <c r="V61" i="1"/>
  <c r="AA61" i="1"/>
  <c r="Q62" i="1"/>
  <c r="V62" i="1"/>
  <c r="AA62" i="1"/>
  <c r="Q3" i="1"/>
  <c r="Z3" i="1"/>
  <c r="P4" i="1"/>
  <c r="U4" i="1"/>
  <c r="Z4" i="1"/>
  <c r="P5" i="1"/>
  <c r="U5" i="1"/>
  <c r="Z5" i="1"/>
  <c r="P6" i="1"/>
  <c r="U6" i="1"/>
  <c r="Z6" i="1"/>
  <c r="P7" i="1"/>
  <c r="U7" i="1"/>
  <c r="Z7" i="1"/>
  <c r="P8" i="1"/>
  <c r="U8" i="1"/>
  <c r="Z8" i="1"/>
  <c r="P9" i="1"/>
  <c r="U9" i="1"/>
  <c r="Z9" i="1"/>
  <c r="P10" i="1"/>
  <c r="U10" i="1"/>
  <c r="Z10" i="1"/>
  <c r="P11" i="1"/>
  <c r="U11" i="1"/>
  <c r="Z11" i="1"/>
  <c r="P12" i="1"/>
  <c r="U12" i="1"/>
  <c r="Z12" i="1"/>
  <c r="P13" i="1"/>
  <c r="U13" i="1"/>
  <c r="Z13" i="1"/>
  <c r="P14" i="1"/>
  <c r="U14" i="1"/>
  <c r="Z14" i="1"/>
  <c r="P15" i="1"/>
  <c r="U15" i="1"/>
  <c r="Z15" i="1"/>
  <c r="P16" i="1"/>
  <c r="U16" i="1"/>
  <c r="Z16" i="1"/>
  <c r="P17" i="1"/>
  <c r="U17" i="1"/>
  <c r="Z17" i="1"/>
  <c r="P18" i="1"/>
  <c r="U18" i="1"/>
  <c r="Z18" i="1"/>
  <c r="P19" i="1"/>
  <c r="U19" i="1"/>
  <c r="Z19" i="1"/>
  <c r="P20" i="1"/>
  <c r="U20" i="1"/>
  <c r="Z20" i="1"/>
  <c r="P21" i="1"/>
  <c r="U21" i="1"/>
  <c r="Z21" i="1"/>
  <c r="P22" i="1"/>
  <c r="U22" i="1"/>
  <c r="Z22" i="1"/>
  <c r="P23" i="1"/>
  <c r="U23" i="1"/>
  <c r="Z23" i="1"/>
  <c r="P24" i="1"/>
  <c r="U24" i="1"/>
  <c r="Z24" i="1"/>
  <c r="P25" i="1"/>
  <c r="U25" i="1"/>
  <c r="Z25" i="1"/>
  <c r="P26" i="1"/>
  <c r="U26" i="1"/>
  <c r="Z26" i="1"/>
  <c r="P27" i="1"/>
  <c r="U27" i="1"/>
  <c r="Z27" i="1"/>
  <c r="P28" i="1"/>
  <c r="U28" i="1"/>
  <c r="Z28" i="1"/>
  <c r="P29" i="1"/>
  <c r="U29" i="1"/>
  <c r="Z29" i="1"/>
  <c r="P30" i="1"/>
  <c r="U30" i="1"/>
  <c r="Z30" i="1"/>
  <c r="P31" i="1"/>
  <c r="U31" i="1"/>
  <c r="Z31" i="1"/>
  <c r="P32" i="1"/>
  <c r="U32" i="1"/>
  <c r="Z32" i="1"/>
  <c r="P33" i="1"/>
  <c r="U33" i="1"/>
  <c r="Z33" i="1"/>
  <c r="P34" i="1"/>
  <c r="U34" i="1"/>
  <c r="Z34" i="1"/>
  <c r="P35" i="1"/>
  <c r="U35" i="1"/>
  <c r="Z35" i="1"/>
  <c r="P36" i="1"/>
  <c r="U36" i="1"/>
  <c r="Z36" i="1"/>
  <c r="P37" i="1"/>
  <c r="U37" i="1"/>
  <c r="Z37" i="1"/>
  <c r="P38" i="1"/>
  <c r="U38" i="1"/>
  <c r="Z38" i="1"/>
  <c r="P39" i="1"/>
  <c r="U39" i="1"/>
  <c r="Z39" i="1"/>
  <c r="P40" i="1"/>
  <c r="U40" i="1"/>
  <c r="Z40" i="1"/>
  <c r="P41" i="1"/>
  <c r="U41" i="1"/>
  <c r="Z41" i="1"/>
  <c r="P42" i="1"/>
  <c r="U42" i="1"/>
  <c r="Z42" i="1"/>
  <c r="P43" i="1"/>
  <c r="U43" i="1"/>
  <c r="Z43" i="1"/>
  <c r="P44" i="1"/>
  <c r="U44" i="1"/>
  <c r="Z44" i="1"/>
  <c r="P45" i="1"/>
  <c r="U45" i="1"/>
  <c r="Z45" i="1"/>
  <c r="P46" i="1"/>
  <c r="U46" i="1"/>
  <c r="Z46" i="1"/>
  <c r="P47" i="1"/>
  <c r="U47" i="1"/>
  <c r="Z47" i="1"/>
  <c r="P48" i="1"/>
  <c r="U48" i="1"/>
  <c r="Z48" i="1"/>
  <c r="P49" i="1"/>
  <c r="U49" i="1"/>
  <c r="Z49" i="1"/>
  <c r="P50" i="1"/>
  <c r="U50" i="1"/>
  <c r="Z50" i="1"/>
  <c r="P51" i="1"/>
  <c r="U51" i="1"/>
  <c r="Z51" i="1"/>
  <c r="P52" i="1"/>
  <c r="U52" i="1"/>
  <c r="Z52" i="1"/>
  <c r="P53" i="1"/>
  <c r="U53" i="1"/>
  <c r="Z53" i="1"/>
  <c r="P54" i="1"/>
  <c r="U54" i="1"/>
  <c r="Z54" i="1"/>
  <c r="P55" i="1"/>
  <c r="U55" i="1"/>
  <c r="Z55" i="1"/>
  <c r="P56" i="1"/>
  <c r="U56" i="1"/>
  <c r="Z56" i="1"/>
  <c r="P57" i="1"/>
  <c r="U57" i="1"/>
  <c r="Z57" i="1"/>
  <c r="P58" i="1"/>
  <c r="U58" i="1"/>
  <c r="Z58" i="1"/>
  <c r="P59" i="1"/>
  <c r="U59" i="1"/>
  <c r="Z59" i="1"/>
  <c r="P60" i="1"/>
  <c r="U60" i="1"/>
  <c r="Z60" i="1"/>
  <c r="P61" i="1"/>
  <c r="U61" i="1"/>
  <c r="Z61" i="1"/>
  <c r="P62" i="1"/>
  <c r="U62" i="1"/>
  <c r="Z62" i="1"/>
  <c r="P3" i="1"/>
</calcChain>
</file>

<file path=xl/sharedStrings.xml><?xml version="1.0" encoding="utf-8"?>
<sst xmlns="http://schemas.openxmlformats.org/spreadsheetml/2006/main" count="1787" uniqueCount="92">
  <si>
    <t>Prima Rectangular</t>
  </si>
  <si>
    <t>Cilindro</t>
  </si>
  <si>
    <t>OrdenEst</t>
  </si>
  <si>
    <t>OrdenCorrida</t>
  </si>
  <si>
    <t>Orientación</t>
  </si>
  <si>
    <t>Tamaño</t>
  </si>
  <si>
    <t>Réplica</t>
  </si>
  <si>
    <t>Tiempo estimado de impresión (min)</t>
  </si>
  <si>
    <t>Z</t>
  </si>
  <si>
    <t>Grande</t>
  </si>
  <si>
    <t>Y</t>
  </si>
  <si>
    <t>Pequeño</t>
  </si>
  <si>
    <t>X</t>
  </si>
  <si>
    <t>Dimensiones nominales</t>
  </si>
  <si>
    <t>Forma</t>
  </si>
  <si>
    <t>Corrida</t>
  </si>
  <si>
    <t>Objeto</t>
  </si>
  <si>
    <t>Posición</t>
  </si>
  <si>
    <t>Largo 1 (mm)</t>
  </si>
  <si>
    <t>Largo 2 (mm)</t>
  </si>
  <si>
    <t>Largo 3 (mm)</t>
  </si>
  <si>
    <t>Largo_Promedio (mm)</t>
  </si>
  <si>
    <t>Largo_Desv. Estándar (mm)</t>
  </si>
  <si>
    <t>Ancho 1 (mm)</t>
  </si>
  <si>
    <t>Ancho 2 (mm)</t>
  </si>
  <si>
    <t>Ancho 3 (mm)</t>
  </si>
  <si>
    <t>Ancho_Promedio (mm)</t>
  </si>
  <si>
    <t>Ancho_Desv. Estándar (mm)</t>
  </si>
  <si>
    <t>Altura 1 (mm)</t>
  </si>
  <si>
    <t>Altura 2 (mm)</t>
  </si>
  <si>
    <t>Altura 3 (mm)</t>
  </si>
  <si>
    <t>Altura_Promedio (mm)</t>
  </si>
  <si>
    <t>Altura_Desv. Estándar (mm)</t>
  </si>
  <si>
    <t>Masa 1 (g)</t>
  </si>
  <si>
    <t>Masa 2 (g)</t>
  </si>
  <si>
    <t>Masa 3 (g)</t>
  </si>
  <si>
    <t>Masa_Promedio (g)</t>
  </si>
  <si>
    <t>Masa_Desv. Estándar (g)</t>
  </si>
  <si>
    <t>T_ini (°C)</t>
  </si>
  <si>
    <t>T_mid (°C)</t>
  </si>
  <si>
    <t>T_fin (°C)</t>
  </si>
  <si>
    <t>T_media (°C)</t>
  </si>
  <si>
    <t>T_desv (°C)</t>
  </si>
  <si>
    <t>HR_ini</t>
  </si>
  <si>
    <t>HR_mid</t>
  </si>
  <si>
    <t>HR_fin</t>
  </si>
  <si>
    <t>HR_media</t>
  </si>
  <si>
    <t>HR_desv</t>
  </si>
  <si>
    <t>Fecha</t>
  </si>
  <si>
    <t>Operador</t>
  </si>
  <si>
    <t>Observaciones</t>
  </si>
  <si>
    <t>Prisma rectangular</t>
  </si>
  <si>
    <t>Centro</t>
  </si>
  <si>
    <t>Cui Zhong</t>
  </si>
  <si>
    <t>Ancho (mm)</t>
  </si>
  <si>
    <t>EsqSupIzq</t>
  </si>
  <si>
    <t>Largo (mm)</t>
  </si>
  <si>
    <t>EsqSupDer</t>
  </si>
  <si>
    <t>Altura (mm)</t>
  </si>
  <si>
    <t>EsqInfIzq</t>
  </si>
  <si>
    <t>EsqInfDer</t>
  </si>
  <si>
    <t>Variable medida</t>
  </si>
  <si>
    <t>Lectura 1</t>
  </si>
  <si>
    <t>Lectura 2</t>
  </si>
  <si>
    <t>Lectura 3</t>
  </si>
  <si>
    <t>Promedio</t>
  </si>
  <si>
    <t>Desv. estándar</t>
  </si>
  <si>
    <t>T_ini</t>
  </si>
  <si>
    <t>T_mid</t>
  </si>
  <si>
    <t>T_fin</t>
  </si>
  <si>
    <t>T_media</t>
  </si>
  <si>
    <t>T_desv</t>
  </si>
  <si>
    <t>Prisma triangular</t>
  </si>
  <si>
    <t>Largo</t>
  </si>
  <si>
    <t>Ancho base (mm)</t>
  </si>
  <si>
    <t>Ancho (base)</t>
  </si>
  <si>
    <t>Altura (base)</t>
  </si>
  <si>
    <t>Altura base (mm)</t>
  </si>
  <si>
    <t>Diámetro 1 (mm)</t>
  </si>
  <si>
    <t>Diámetro 2 (mm)</t>
  </si>
  <si>
    <t>Diámetro 3 (mm)</t>
  </si>
  <si>
    <t>Diámetro_Promedio (mm)</t>
  </si>
  <si>
    <t>Diámetro_Desv. Estándar (mm)</t>
  </si>
  <si>
    <t>Diámetro (mm)</t>
  </si>
  <si>
    <t>Tiempo de impresión estimado para la primera capa (min)</t>
  </si>
  <si>
    <t>Tiempo real de impresión (min)</t>
  </si>
  <si>
    <t>Tiempo de enfriamiento (min)</t>
  </si>
  <si>
    <t>Tiempo de medición y toma de datos (min)</t>
  </si>
  <si>
    <t>Tiempo total</t>
  </si>
  <si>
    <t>Consumo de material (g)</t>
  </si>
  <si>
    <t>Consumo de material (m)</t>
  </si>
  <si>
    <r>
      <t>Consumo de material (cm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</si>
</sst>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11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5" xfId="0" applyBorder="1" applyAlignment="1">
      <alignment horizontal="center" vertical="center" wrapText="1"/>
    </xf>
    <xf numFmtId="9" fontId="0" fillId="0" borderId="0" xfId="1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/>
    <xf numFmtId="9" fontId="0" fillId="0" borderId="8" xfId="1" applyFont="1" applyBorder="1" applyAlignment="1">
      <alignment horizontal="center" vertical="center" wrapText="1"/>
    </xf>
    <xf numFmtId="0" fontId="0" fillId="0" borderId="9" xfId="0" applyBorder="1"/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9" fontId="2" fillId="0" borderId="11" xfId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9" fontId="0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2" fontId="0" fillId="0" borderId="0" xfId="1" applyNumberFormat="1" applyFont="1" applyAlignment="1">
      <alignment horizontal="center" vertical="center"/>
    </xf>
    <xf numFmtId="2" fontId="2" fillId="0" borderId="11" xfId="1" applyNumberFormat="1" applyFont="1" applyBorder="1" applyAlignment="1">
      <alignment horizontal="center" vertical="center" wrapText="1"/>
    </xf>
    <xf numFmtId="2" fontId="0" fillId="0" borderId="3" xfId="1" applyNumberFormat="1" applyFont="1" applyBorder="1" applyAlignment="1">
      <alignment horizontal="center" vertical="center" wrapText="1"/>
    </xf>
    <xf numFmtId="2" fontId="0" fillId="0" borderId="0" xfId="1" applyNumberFormat="1" applyFont="1" applyBorder="1" applyAlignment="1">
      <alignment horizontal="center" vertical="center" wrapText="1"/>
    </xf>
    <xf numFmtId="2" fontId="0" fillId="0" borderId="8" xfId="1" applyNumberFormat="1" applyFont="1" applyBorder="1" applyAlignment="1">
      <alignment horizontal="center" vertical="center" wrapText="1"/>
    </xf>
    <xf numFmtId="0" fontId="4" fillId="0" borderId="0" xfId="0" applyFont="1"/>
    <xf numFmtId="0" fontId="0" fillId="8" borderId="16" xfId="0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 wrapText="1"/>
    </xf>
    <xf numFmtId="9" fontId="0" fillId="0" borderId="0" xfId="1" applyFont="1"/>
    <xf numFmtId="9" fontId="0" fillId="0" borderId="0" xfId="1" applyFont="1" applyAlignment="1">
      <alignment horizontal="center" vertical="center" wrapText="1"/>
    </xf>
    <xf numFmtId="9" fontId="0" fillId="0" borderId="3" xfId="1" applyFont="1" applyBorder="1"/>
    <xf numFmtId="9" fontId="0" fillId="0" borderId="8" xfId="1" applyFont="1" applyBorder="1"/>
    <xf numFmtId="164" fontId="0" fillId="0" borderId="3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10" fontId="2" fillId="0" borderId="11" xfId="1" applyNumberFormat="1" applyFont="1" applyBorder="1" applyAlignment="1">
      <alignment horizontal="center" vertical="center" wrapText="1"/>
    </xf>
    <xf numFmtId="10" fontId="0" fillId="0" borderId="3" xfId="1" applyNumberFormat="1" applyFont="1" applyBorder="1" applyAlignment="1">
      <alignment horizontal="center" vertical="center" wrapText="1"/>
    </xf>
    <xf numFmtId="10" fontId="0" fillId="0" borderId="0" xfId="1" applyNumberFormat="1" applyFont="1" applyBorder="1" applyAlignment="1">
      <alignment horizontal="center" vertical="center" wrapText="1"/>
    </xf>
    <xf numFmtId="9" fontId="0" fillId="0" borderId="0" xfId="1" applyFont="1" applyAlignment="1">
      <alignment horizontal="center"/>
    </xf>
    <xf numFmtId="10" fontId="0" fillId="0" borderId="0" xfId="1" applyNumberFormat="1" applyFont="1" applyAlignment="1">
      <alignment horizontal="center"/>
    </xf>
    <xf numFmtId="9" fontId="0" fillId="0" borderId="3" xfId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8" xfId="1" applyFont="1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0" xfId="0" applyNumberFormat="1"/>
    <xf numFmtId="2" fontId="0" fillId="0" borderId="3" xfId="0" applyNumberFormat="1" applyBorder="1"/>
    <xf numFmtId="2" fontId="0" fillId="0" borderId="8" xfId="0" applyNumberFormat="1" applyBorder="1"/>
    <xf numFmtId="14" fontId="0" fillId="0" borderId="3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9" fontId="0" fillId="0" borderId="0" xfId="1" applyFont="1" applyBorder="1" applyAlignment="1">
      <alignment horizontal="center"/>
    </xf>
    <xf numFmtId="10" fontId="0" fillId="0" borderId="8" xfId="1" applyNumberFormat="1" applyFon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EED6-AFD3-4890-9AD6-5769DC30DCD1}">
  <dimension ref="B1:H14"/>
  <sheetViews>
    <sheetView workbookViewId="0"/>
  </sheetViews>
  <sheetFormatPr defaultColWidth="11.42578125" defaultRowHeight="15"/>
  <cols>
    <col min="3" max="3" width="13" bestFit="1" customWidth="1"/>
    <col min="6" max="6" width="13" customWidth="1"/>
    <col min="7" max="7" width="22.7109375" customWidth="1"/>
    <col min="8" max="8" width="17.7109375" customWidth="1"/>
  </cols>
  <sheetData>
    <row r="1" spans="2:8">
      <c r="G1" s="4" t="s">
        <v>0</v>
      </c>
      <c r="H1" s="4" t="s">
        <v>1</v>
      </c>
    </row>
    <row r="2" spans="2:8" ht="4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64" t="s">
        <v>7</v>
      </c>
      <c r="H2" s="64" t="s">
        <v>7</v>
      </c>
    </row>
    <row r="3" spans="2:8">
      <c r="B3" s="2">
        <v>12</v>
      </c>
      <c r="C3" s="2">
        <v>1</v>
      </c>
      <c r="D3" s="5" t="s">
        <v>8</v>
      </c>
      <c r="E3" s="5" t="s">
        <v>9</v>
      </c>
      <c r="F3" s="5">
        <v>1</v>
      </c>
      <c r="G3" s="41">
        <v>81</v>
      </c>
      <c r="H3" s="3">
        <v>90</v>
      </c>
    </row>
    <row r="4" spans="2:8">
      <c r="B4" s="2">
        <v>3</v>
      </c>
      <c r="C4" s="2">
        <v>2</v>
      </c>
      <c r="D4" s="6" t="s">
        <v>10</v>
      </c>
      <c r="E4" s="6" t="s">
        <v>11</v>
      </c>
      <c r="F4" s="6">
        <v>1</v>
      </c>
      <c r="G4" s="41">
        <v>17</v>
      </c>
      <c r="H4" s="3">
        <v>31</v>
      </c>
    </row>
    <row r="5" spans="2:8">
      <c r="B5" s="2">
        <v>8</v>
      </c>
      <c r="C5" s="2">
        <v>3</v>
      </c>
      <c r="D5" s="7" t="s">
        <v>12</v>
      </c>
      <c r="E5" s="7" t="s">
        <v>9</v>
      </c>
      <c r="F5" s="7">
        <v>1</v>
      </c>
      <c r="G5" s="41">
        <v>80</v>
      </c>
      <c r="H5" s="3">
        <v>129</v>
      </c>
    </row>
    <row r="6" spans="2:8">
      <c r="B6" s="2">
        <v>10</v>
      </c>
      <c r="C6" s="2">
        <v>4</v>
      </c>
      <c r="D6" s="8" t="s">
        <v>10</v>
      </c>
      <c r="E6" s="8" t="s">
        <v>9</v>
      </c>
      <c r="F6" s="9">
        <v>1</v>
      </c>
      <c r="G6" s="41">
        <v>79</v>
      </c>
      <c r="H6" s="3">
        <v>121</v>
      </c>
    </row>
    <row r="7" spans="2:8">
      <c r="B7" s="2">
        <v>6</v>
      </c>
      <c r="C7" s="2">
        <v>5</v>
      </c>
      <c r="D7" s="5" t="s">
        <v>8</v>
      </c>
      <c r="E7" s="5" t="s">
        <v>9</v>
      </c>
      <c r="F7" s="5">
        <v>2</v>
      </c>
      <c r="G7" s="41">
        <v>81</v>
      </c>
      <c r="H7" s="3">
        <v>90</v>
      </c>
    </row>
    <row r="8" spans="2:8">
      <c r="B8" s="2">
        <v>5</v>
      </c>
      <c r="C8" s="2">
        <v>6</v>
      </c>
      <c r="D8" s="10" t="s">
        <v>8</v>
      </c>
      <c r="E8" s="10" t="s">
        <v>11</v>
      </c>
      <c r="F8" s="11">
        <v>1</v>
      </c>
      <c r="G8" s="41">
        <v>51</v>
      </c>
      <c r="H8" s="3">
        <v>71</v>
      </c>
    </row>
    <row r="9" spans="2:8">
      <c r="B9" s="2">
        <v>1</v>
      </c>
      <c r="C9" s="2">
        <v>7</v>
      </c>
      <c r="D9" s="12" t="s">
        <v>12</v>
      </c>
      <c r="E9" s="12" t="s">
        <v>11</v>
      </c>
      <c r="F9" s="13">
        <v>1</v>
      </c>
      <c r="G9" s="41">
        <v>17</v>
      </c>
      <c r="H9" s="3">
        <v>30</v>
      </c>
    </row>
    <row r="10" spans="2:8">
      <c r="B10" s="2">
        <v>9</v>
      </c>
      <c r="C10" s="2">
        <v>8</v>
      </c>
      <c r="D10" s="6" t="s">
        <v>10</v>
      </c>
      <c r="E10" s="6" t="s">
        <v>11</v>
      </c>
      <c r="F10" s="6">
        <v>2</v>
      </c>
      <c r="G10" s="41">
        <v>17</v>
      </c>
      <c r="H10" s="3">
        <v>31</v>
      </c>
    </row>
    <row r="11" spans="2:8">
      <c r="B11" s="2">
        <v>2</v>
      </c>
      <c r="C11" s="2">
        <v>9</v>
      </c>
      <c r="D11" s="7" t="s">
        <v>12</v>
      </c>
      <c r="E11" s="7" t="s">
        <v>9</v>
      </c>
      <c r="F11" s="7">
        <v>2</v>
      </c>
      <c r="G11" s="41">
        <v>80</v>
      </c>
      <c r="H11" s="3">
        <v>129</v>
      </c>
    </row>
    <row r="12" spans="2:8">
      <c r="B12" s="2">
        <v>4</v>
      </c>
      <c r="C12" s="2">
        <v>10</v>
      </c>
      <c r="D12" s="8" t="s">
        <v>10</v>
      </c>
      <c r="E12" s="8" t="s">
        <v>9</v>
      </c>
      <c r="F12" s="9">
        <v>2</v>
      </c>
      <c r="G12" s="41">
        <v>79</v>
      </c>
      <c r="H12" s="3">
        <v>121</v>
      </c>
    </row>
    <row r="13" spans="2:8">
      <c r="B13" s="2">
        <v>11</v>
      </c>
      <c r="C13" s="2">
        <v>11</v>
      </c>
      <c r="D13" s="10" t="s">
        <v>8</v>
      </c>
      <c r="E13" s="10" t="s">
        <v>11</v>
      </c>
      <c r="F13" s="11">
        <v>2</v>
      </c>
      <c r="G13" s="41">
        <v>51</v>
      </c>
      <c r="H13" s="3">
        <v>71</v>
      </c>
    </row>
    <row r="14" spans="2:8">
      <c r="B14" s="2">
        <v>7</v>
      </c>
      <c r="C14" s="2">
        <v>12</v>
      </c>
      <c r="D14" s="12" t="s">
        <v>12</v>
      </c>
      <c r="E14" s="12" t="s">
        <v>11</v>
      </c>
      <c r="F14" s="13">
        <v>2</v>
      </c>
      <c r="G14" s="41">
        <v>17</v>
      </c>
      <c r="H14" s="3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25FE-BAD6-454D-A802-89CCE43B793C}">
  <dimension ref="B1:AS77"/>
  <sheetViews>
    <sheetView topLeftCell="T38" zoomScale="85" zoomScaleNormal="85" workbookViewId="0">
      <selection activeCell="F2" sqref="F2:AP62"/>
    </sheetView>
  </sheetViews>
  <sheetFormatPr defaultColWidth="11.42578125" defaultRowHeight="15"/>
  <cols>
    <col min="6" max="6" width="18" style="41" bestFit="1" customWidth="1"/>
    <col min="7" max="7" width="7.7109375" style="41" bestFit="1" customWidth="1"/>
    <col min="8" max="8" width="11.5703125" style="41" customWidth="1"/>
    <col min="9" max="9" width="8.7109375" style="41" bestFit="1" customWidth="1"/>
    <col min="10" max="10" width="7.7109375" style="41" bestFit="1" customWidth="1"/>
    <col min="11" max="11" width="7.140625" style="41" bestFit="1" customWidth="1"/>
    <col min="12" max="12" width="10.42578125" style="41" bestFit="1" customWidth="1"/>
    <col min="13" max="15" width="9.140625" style="41" bestFit="1" customWidth="1"/>
    <col min="16" max="16" width="9.7109375" style="66" bestFit="1" customWidth="1"/>
    <col min="17" max="17" width="8.85546875" style="66" bestFit="1" customWidth="1"/>
    <col min="18" max="20" width="9.140625" style="41" bestFit="1" customWidth="1"/>
    <col min="21" max="21" width="9.7109375" style="66" bestFit="1" customWidth="1"/>
    <col min="22" max="22" width="8.85546875" style="66" bestFit="1" customWidth="1"/>
    <col min="23" max="25" width="9.140625" style="41" bestFit="1" customWidth="1"/>
    <col min="26" max="26" width="9.7109375" style="66" bestFit="1" customWidth="1"/>
    <col min="27" max="27" width="8.85546875" style="66" bestFit="1" customWidth="1"/>
    <col min="28" max="30" width="9.140625" style="3" bestFit="1" customWidth="1"/>
    <col min="31" max="31" width="8.42578125" style="3" customWidth="1"/>
    <col min="32" max="32" width="9" style="3" customWidth="1"/>
    <col min="33" max="33" width="6.5703125" style="41" customWidth="1"/>
    <col min="34" max="34" width="6.28515625" style="41" bestFit="1" customWidth="1"/>
    <col min="35" max="35" width="5.28515625" style="41" bestFit="1" customWidth="1"/>
    <col min="36" max="36" width="8.42578125" style="66" bestFit="1" customWidth="1"/>
    <col min="37" max="37" width="8.140625" style="66" bestFit="1" customWidth="1"/>
    <col min="38" max="38" width="6.85546875" style="49" bestFit="1" customWidth="1"/>
    <col min="39" max="39" width="8" style="49" bestFit="1" customWidth="1"/>
    <col min="40" max="40" width="7" style="49" bestFit="1" customWidth="1"/>
    <col min="41" max="41" width="10.140625" style="49" bestFit="1" customWidth="1"/>
    <col min="42" max="42" width="8.85546875" style="71" bestFit="1" customWidth="1"/>
    <col min="43" max="43" width="12.28515625" style="50" customWidth="1"/>
    <col min="44" max="44" width="11.28515625" style="41" customWidth="1"/>
    <col min="45" max="45" width="14.42578125" style="41" bestFit="1" customWidth="1"/>
  </cols>
  <sheetData>
    <row r="1" spans="2:45" ht="15.75" thickBot="1"/>
    <row r="2" spans="2:45" ht="60.75" thickBot="1">
      <c r="B2" s="113" t="s">
        <v>13</v>
      </c>
      <c r="C2" s="114"/>
      <c r="D2" s="115"/>
      <c r="F2" s="26" t="s">
        <v>14</v>
      </c>
      <c r="G2" s="27" t="s">
        <v>15</v>
      </c>
      <c r="H2" s="27" t="s">
        <v>4</v>
      </c>
      <c r="I2" s="27" t="s">
        <v>5</v>
      </c>
      <c r="J2" s="27" t="s">
        <v>6</v>
      </c>
      <c r="K2" s="27" t="s">
        <v>16</v>
      </c>
      <c r="L2" s="27" t="s">
        <v>17</v>
      </c>
      <c r="M2" s="27" t="s">
        <v>18</v>
      </c>
      <c r="N2" s="27" t="s">
        <v>19</v>
      </c>
      <c r="O2" s="27" t="s">
        <v>20</v>
      </c>
      <c r="P2" s="67" t="s">
        <v>21</v>
      </c>
      <c r="Q2" s="67" t="s">
        <v>22</v>
      </c>
      <c r="R2" s="27" t="s">
        <v>23</v>
      </c>
      <c r="S2" s="27" t="s">
        <v>24</v>
      </c>
      <c r="T2" s="27" t="s">
        <v>25</v>
      </c>
      <c r="U2" s="67" t="s">
        <v>26</v>
      </c>
      <c r="V2" s="67" t="s">
        <v>27</v>
      </c>
      <c r="W2" s="27" t="s">
        <v>28</v>
      </c>
      <c r="X2" s="27" t="s">
        <v>29</v>
      </c>
      <c r="Y2" s="27" t="s">
        <v>30</v>
      </c>
      <c r="Z2" s="67" t="s">
        <v>31</v>
      </c>
      <c r="AA2" s="67" t="s">
        <v>32</v>
      </c>
      <c r="AB2" s="27" t="s">
        <v>33</v>
      </c>
      <c r="AC2" s="27" t="s">
        <v>34</v>
      </c>
      <c r="AD2" s="27" t="s">
        <v>35</v>
      </c>
      <c r="AE2" s="27" t="s">
        <v>36</v>
      </c>
      <c r="AF2" s="27" t="s">
        <v>37</v>
      </c>
      <c r="AG2" s="27" t="s">
        <v>38</v>
      </c>
      <c r="AH2" s="27" t="s">
        <v>39</v>
      </c>
      <c r="AI2" s="27" t="s">
        <v>40</v>
      </c>
      <c r="AJ2" s="27" t="s">
        <v>41</v>
      </c>
      <c r="AK2" s="27" t="s">
        <v>42</v>
      </c>
      <c r="AL2" s="28" t="s">
        <v>43</v>
      </c>
      <c r="AM2" s="28" t="s">
        <v>44</v>
      </c>
      <c r="AN2" s="28" t="s">
        <v>45</v>
      </c>
      <c r="AO2" s="28" t="s">
        <v>46</v>
      </c>
      <c r="AP2" s="72" t="s">
        <v>47</v>
      </c>
      <c r="AQ2" s="42" t="s">
        <v>48</v>
      </c>
      <c r="AR2" s="27" t="s">
        <v>49</v>
      </c>
      <c r="AS2" s="29" t="s">
        <v>50</v>
      </c>
    </row>
    <row r="3" spans="2:45">
      <c r="B3" s="40"/>
      <c r="C3" s="112" t="s">
        <v>11</v>
      </c>
      <c r="D3" s="112" t="s">
        <v>9</v>
      </c>
      <c r="F3" s="30" t="s">
        <v>51</v>
      </c>
      <c r="G3" s="31">
        <v>1</v>
      </c>
      <c r="H3" s="44" t="s">
        <v>8</v>
      </c>
      <c r="I3" s="44" t="s">
        <v>9</v>
      </c>
      <c r="J3" s="31">
        <v>1</v>
      </c>
      <c r="K3" s="31">
        <v>1</v>
      </c>
      <c r="L3" s="31" t="s">
        <v>52</v>
      </c>
      <c r="M3" s="31">
        <v>40</v>
      </c>
      <c r="N3" s="31">
        <v>40.07</v>
      </c>
      <c r="O3" s="31">
        <v>40.07</v>
      </c>
      <c r="P3" s="68">
        <f>AVERAGE(M3:O3)</f>
        <v>40.04666666666666</v>
      </c>
      <c r="Q3" s="68">
        <f>_xlfn.STDEV.S(M3:O3)</f>
        <v>4.0414518843273968E-2</v>
      </c>
      <c r="R3" s="31">
        <v>20.02</v>
      </c>
      <c r="S3" s="31">
        <v>20.03</v>
      </c>
      <c r="T3" s="31">
        <v>20.02</v>
      </c>
      <c r="U3" s="68">
        <f t="shared" ref="U3:U34" si="0">AVERAGE(R3:T3)</f>
        <v>20.02333333333333</v>
      </c>
      <c r="V3" s="68">
        <f t="shared" ref="V3:V34" si="1">_xlfn.STDEV.S(R3:T3)</f>
        <v>5.77350269189716E-3</v>
      </c>
      <c r="W3" s="31">
        <v>10.15</v>
      </c>
      <c r="X3" s="31">
        <v>10.16</v>
      </c>
      <c r="Y3" s="31">
        <v>10.14</v>
      </c>
      <c r="Z3" s="68">
        <f t="shared" ref="Z3:Z34" si="2">AVERAGE(W3:Y3)</f>
        <v>10.15</v>
      </c>
      <c r="AA3" s="68">
        <f t="shared" ref="AA3:AA34" si="3">_xlfn.STDEV.S(W3:Y3)</f>
        <v>9.9999999999997868E-3</v>
      </c>
      <c r="AB3" s="31"/>
      <c r="AC3" s="31"/>
      <c r="AD3" s="31"/>
      <c r="AE3" s="31" t="e">
        <f t="shared" ref="AE3:AE16" si="4">AVERAGE(AB3:AD3)</f>
        <v>#DIV/0!</v>
      </c>
      <c r="AF3" s="31" t="e">
        <f t="shared" ref="AF3:AF16" si="5">_xlfn.STDEV.S(AB3:AD3)</f>
        <v>#DIV/0!</v>
      </c>
      <c r="AG3" s="31">
        <v>23.4</v>
      </c>
      <c r="AH3" s="31">
        <v>28.3</v>
      </c>
      <c r="AI3" s="31">
        <v>28.5</v>
      </c>
      <c r="AJ3" s="68">
        <f>AVERAGE(AG3:AI3)</f>
        <v>26.733333333333334</v>
      </c>
      <c r="AK3" s="68">
        <f>_xlfn.STDEV.S(AG3:AI3)</f>
        <v>2.8884828774519917</v>
      </c>
      <c r="AL3" s="33">
        <v>0.78</v>
      </c>
      <c r="AM3" s="33">
        <v>0.6</v>
      </c>
      <c r="AN3" s="33">
        <v>0.59</v>
      </c>
      <c r="AO3" s="33">
        <f>AVERAGE(AL3:AN3)</f>
        <v>0.65666666666666662</v>
      </c>
      <c r="AP3" s="73">
        <f>_xlfn.STDEV.S(AL3:AN3)</f>
        <v>0.10692676621563713</v>
      </c>
      <c r="AQ3" s="34">
        <v>45955</v>
      </c>
      <c r="AR3" s="31" t="s">
        <v>53</v>
      </c>
      <c r="AS3" s="35"/>
    </row>
    <row r="4" spans="2:45">
      <c r="B4" s="112" t="s">
        <v>54</v>
      </c>
      <c r="C4" s="40">
        <v>10</v>
      </c>
      <c r="D4" s="40">
        <v>20</v>
      </c>
      <c r="F4" s="14" t="s">
        <v>51</v>
      </c>
      <c r="G4" s="1">
        <v>1</v>
      </c>
      <c r="H4" s="45" t="s">
        <v>8</v>
      </c>
      <c r="I4" s="45" t="s">
        <v>9</v>
      </c>
      <c r="J4" s="1">
        <v>1</v>
      </c>
      <c r="K4" s="1">
        <v>2</v>
      </c>
      <c r="L4" s="1" t="s">
        <v>55</v>
      </c>
      <c r="M4" s="1">
        <v>40.06</v>
      </c>
      <c r="N4" s="1">
        <v>40.090000000000003</v>
      </c>
      <c r="O4" s="1">
        <v>40.04</v>
      </c>
      <c r="P4" s="69">
        <f t="shared" ref="P4:P24" si="6">AVERAGE(M4:O4)</f>
        <v>40.063333333333333</v>
      </c>
      <c r="Q4" s="69">
        <f t="shared" ref="Q4:Q24" si="7">_xlfn.STDEV.S(M4:O4)</f>
        <v>2.5166114784237883E-2</v>
      </c>
      <c r="R4" s="1">
        <v>19.97</v>
      </c>
      <c r="S4" s="1">
        <v>20.010000000000002</v>
      </c>
      <c r="T4" s="1">
        <v>20.079999999999998</v>
      </c>
      <c r="U4" s="69">
        <f t="shared" si="0"/>
        <v>20.02</v>
      </c>
      <c r="V4" s="69">
        <f t="shared" si="1"/>
        <v>5.5677643628299668E-2</v>
      </c>
      <c r="W4" s="1">
        <v>10.16</v>
      </c>
      <c r="X4" s="1">
        <v>10.14</v>
      </c>
      <c r="Y4" s="1">
        <v>10.16</v>
      </c>
      <c r="Z4" s="69">
        <f t="shared" si="2"/>
        <v>10.153333333333334</v>
      </c>
      <c r="AA4" s="69">
        <f t="shared" si="3"/>
        <v>1.154700538379227E-2</v>
      </c>
      <c r="AB4" s="1"/>
      <c r="AC4" s="1"/>
      <c r="AD4" s="1"/>
      <c r="AE4" s="1" t="e">
        <f t="shared" si="4"/>
        <v>#DIV/0!</v>
      </c>
      <c r="AF4" s="1" t="e">
        <f t="shared" si="5"/>
        <v>#DIV/0!</v>
      </c>
      <c r="AG4" s="1">
        <v>23.4</v>
      </c>
      <c r="AH4" s="1">
        <v>28.3</v>
      </c>
      <c r="AI4" s="1">
        <v>28.5</v>
      </c>
      <c r="AJ4" s="69">
        <f t="shared" ref="AJ4:AJ24" si="8">AVERAGE(AG4:AI4)</f>
        <v>26.733333333333334</v>
      </c>
      <c r="AK4" s="69">
        <f t="shared" ref="AK4:AK24" si="9">_xlfn.STDEV.S(AG4:AI4)</f>
        <v>2.8884828774519917</v>
      </c>
      <c r="AL4" s="15">
        <v>0.78</v>
      </c>
      <c r="AM4" s="15">
        <v>0.6</v>
      </c>
      <c r="AN4" s="15">
        <v>0.59</v>
      </c>
      <c r="AO4" s="15">
        <f t="shared" ref="AO4:AO24" si="10">AVERAGE(AL4:AN4)</f>
        <v>0.65666666666666662</v>
      </c>
      <c r="AP4" s="74">
        <f t="shared" ref="AP4:AP24" si="11">_xlfn.STDEV.S(AL4:AN4)</f>
        <v>0.10692676621563713</v>
      </c>
      <c r="AQ4" s="16">
        <v>45955</v>
      </c>
      <c r="AR4" s="1" t="s">
        <v>53</v>
      </c>
      <c r="AS4" s="17"/>
    </row>
    <row r="5" spans="2:45">
      <c r="B5" s="112" t="s">
        <v>56</v>
      </c>
      <c r="C5" s="40">
        <v>20</v>
      </c>
      <c r="D5" s="40">
        <v>40</v>
      </c>
      <c r="F5" s="14" t="s">
        <v>51</v>
      </c>
      <c r="G5" s="1">
        <v>1</v>
      </c>
      <c r="H5" s="45" t="s">
        <v>8</v>
      </c>
      <c r="I5" s="45" t="s">
        <v>9</v>
      </c>
      <c r="J5" s="1">
        <v>1</v>
      </c>
      <c r="K5" s="1">
        <v>3</v>
      </c>
      <c r="L5" s="1" t="s">
        <v>57</v>
      </c>
      <c r="M5" s="1">
        <v>39.93</v>
      </c>
      <c r="N5" s="1">
        <v>40.090000000000003</v>
      </c>
      <c r="O5" s="1">
        <v>39.94</v>
      </c>
      <c r="P5" s="69">
        <f t="shared" si="6"/>
        <v>39.986666666666672</v>
      </c>
      <c r="Q5" s="69">
        <f>_xlfn.STDEV.S(M5:O5)</f>
        <v>8.9628864398327665E-2</v>
      </c>
      <c r="R5" s="1">
        <v>19.940000000000001</v>
      </c>
      <c r="S5" s="1">
        <v>20</v>
      </c>
      <c r="T5" s="1">
        <v>19.95</v>
      </c>
      <c r="U5" s="69">
        <f t="shared" si="0"/>
        <v>19.963333333333335</v>
      </c>
      <c r="V5" s="69">
        <f t="shared" si="1"/>
        <v>3.2145502536642868E-2</v>
      </c>
      <c r="W5" s="1">
        <v>10.15</v>
      </c>
      <c r="X5" s="1">
        <v>10.14</v>
      </c>
      <c r="Y5" s="1">
        <v>10.14</v>
      </c>
      <c r="Z5" s="69">
        <f t="shared" si="2"/>
        <v>10.143333333333333</v>
      </c>
      <c r="AA5" s="69">
        <f t="shared" si="3"/>
        <v>5.7735026918961348E-3</v>
      </c>
      <c r="AB5" s="1"/>
      <c r="AC5" s="1"/>
      <c r="AD5" s="1"/>
      <c r="AE5" s="1" t="e">
        <f t="shared" si="4"/>
        <v>#DIV/0!</v>
      </c>
      <c r="AF5" s="1" t="e">
        <f t="shared" si="5"/>
        <v>#DIV/0!</v>
      </c>
      <c r="AG5" s="1">
        <v>23.4</v>
      </c>
      <c r="AH5" s="1">
        <v>28.3</v>
      </c>
      <c r="AI5" s="1">
        <v>28.5</v>
      </c>
      <c r="AJ5" s="69">
        <f t="shared" si="8"/>
        <v>26.733333333333334</v>
      </c>
      <c r="AK5" s="69">
        <f t="shared" si="9"/>
        <v>2.8884828774519917</v>
      </c>
      <c r="AL5" s="15">
        <v>0.78</v>
      </c>
      <c r="AM5" s="15">
        <v>0.6</v>
      </c>
      <c r="AN5" s="15">
        <v>0.59</v>
      </c>
      <c r="AO5" s="15">
        <f t="shared" si="10"/>
        <v>0.65666666666666662</v>
      </c>
      <c r="AP5" s="74">
        <f t="shared" si="11"/>
        <v>0.10692676621563713</v>
      </c>
      <c r="AQ5" s="16">
        <v>45955</v>
      </c>
      <c r="AR5" s="1" t="s">
        <v>53</v>
      </c>
      <c r="AS5" s="17"/>
    </row>
    <row r="6" spans="2:45">
      <c r="B6" s="112" t="s">
        <v>58</v>
      </c>
      <c r="C6" s="40">
        <v>5</v>
      </c>
      <c r="D6" s="40">
        <v>10</v>
      </c>
      <c r="F6" s="14" t="s">
        <v>51</v>
      </c>
      <c r="G6" s="1">
        <v>1</v>
      </c>
      <c r="H6" s="45" t="s">
        <v>8</v>
      </c>
      <c r="I6" s="45" t="s">
        <v>9</v>
      </c>
      <c r="J6" s="1">
        <v>1</v>
      </c>
      <c r="K6" s="1">
        <v>4</v>
      </c>
      <c r="L6" s="1" t="s">
        <v>59</v>
      </c>
      <c r="M6" s="1">
        <v>40.020000000000003</v>
      </c>
      <c r="N6" s="1">
        <v>40</v>
      </c>
      <c r="O6" s="1">
        <v>40</v>
      </c>
      <c r="P6" s="69">
        <f t="shared" si="6"/>
        <v>40.006666666666668</v>
      </c>
      <c r="Q6" s="69">
        <f t="shared" si="7"/>
        <v>1.154700538379432E-2</v>
      </c>
      <c r="R6" s="1">
        <v>20.03</v>
      </c>
      <c r="S6" s="1">
        <v>20.05</v>
      </c>
      <c r="T6" s="1">
        <v>20.04</v>
      </c>
      <c r="U6" s="69">
        <f t="shared" si="0"/>
        <v>20.04</v>
      </c>
      <c r="V6" s="69">
        <f t="shared" si="1"/>
        <v>9.9999999999997868E-3</v>
      </c>
      <c r="W6" s="1">
        <v>10.16</v>
      </c>
      <c r="X6" s="1">
        <v>10.15</v>
      </c>
      <c r="Y6" s="1">
        <v>10.15</v>
      </c>
      <c r="Z6" s="69">
        <f t="shared" si="2"/>
        <v>10.153333333333334</v>
      </c>
      <c r="AA6" s="69">
        <f t="shared" si="3"/>
        <v>5.7735026918961348E-3</v>
      </c>
      <c r="AB6" s="1"/>
      <c r="AC6" s="1"/>
      <c r="AD6" s="1"/>
      <c r="AE6" s="1" t="e">
        <f t="shared" si="4"/>
        <v>#DIV/0!</v>
      </c>
      <c r="AF6" s="1" t="e">
        <f t="shared" si="5"/>
        <v>#DIV/0!</v>
      </c>
      <c r="AG6" s="1">
        <v>23.4</v>
      </c>
      <c r="AH6" s="1">
        <v>28.3</v>
      </c>
      <c r="AI6" s="1">
        <v>28.5</v>
      </c>
      <c r="AJ6" s="69">
        <f t="shared" si="8"/>
        <v>26.733333333333334</v>
      </c>
      <c r="AK6" s="69">
        <f t="shared" si="9"/>
        <v>2.8884828774519917</v>
      </c>
      <c r="AL6" s="15">
        <v>0.78</v>
      </c>
      <c r="AM6" s="15">
        <v>0.6</v>
      </c>
      <c r="AN6" s="15">
        <v>0.59</v>
      </c>
      <c r="AO6" s="15">
        <f t="shared" si="10"/>
        <v>0.65666666666666662</v>
      </c>
      <c r="AP6" s="74">
        <f t="shared" si="11"/>
        <v>0.10692676621563713</v>
      </c>
      <c r="AQ6" s="16">
        <v>45955</v>
      </c>
      <c r="AR6" s="1" t="s">
        <v>53</v>
      </c>
      <c r="AS6" s="17"/>
    </row>
    <row r="7" spans="2:45" ht="15.75" thickBot="1">
      <c r="F7" s="19" t="s">
        <v>51</v>
      </c>
      <c r="G7" s="22">
        <v>1</v>
      </c>
      <c r="H7" s="46" t="s">
        <v>8</v>
      </c>
      <c r="I7" s="46" t="s">
        <v>9</v>
      </c>
      <c r="J7" s="22">
        <v>1</v>
      </c>
      <c r="K7" s="22">
        <v>5</v>
      </c>
      <c r="L7" s="22" t="s">
        <v>60</v>
      </c>
      <c r="M7" s="22">
        <v>39.97</v>
      </c>
      <c r="N7" s="22">
        <v>39.94</v>
      </c>
      <c r="O7" s="22">
        <v>39.950000000000003</v>
      </c>
      <c r="P7" s="70">
        <f t="shared" si="6"/>
        <v>39.953333333333333</v>
      </c>
      <c r="Q7" s="70">
        <f t="shared" si="7"/>
        <v>1.5275252316519527E-2</v>
      </c>
      <c r="R7" s="22">
        <v>19.96</v>
      </c>
      <c r="S7" s="22">
        <v>19.97</v>
      </c>
      <c r="T7" s="22">
        <v>19.96</v>
      </c>
      <c r="U7" s="70">
        <f t="shared" si="0"/>
        <v>19.963333333333335</v>
      </c>
      <c r="V7" s="70">
        <f t="shared" si="1"/>
        <v>5.7735026918951087E-3</v>
      </c>
      <c r="W7" s="22">
        <v>10.09</v>
      </c>
      <c r="X7" s="22">
        <v>10.09</v>
      </c>
      <c r="Y7" s="22">
        <v>10.08</v>
      </c>
      <c r="Z7" s="70">
        <f t="shared" si="2"/>
        <v>10.086666666666666</v>
      </c>
      <c r="AA7" s="70">
        <f t="shared" si="3"/>
        <v>5.7735026918961348E-3</v>
      </c>
      <c r="AB7" s="22"/>
      <c r="AC7" s="22"/>
      <c r="AD7" s="22"/>
      <c r="AE7" s="22" t="e">
        <f t="shared" si="4"/>
        <v>#DIV/0!</v>
      </c>
      <c r="AF7" s="22" t="e">
        <f t="shared" si="5"/>
        <v>#DIV/0!</v>
      </c>
      <c r="AG7" s="22">
        <v>23.4</v>
      </c>
      <c r="AH7" s="22">
        <v>28.3</v>
      </c>
      <c r="AI7" s="22">
        <v>28.5</v>
      </c>
      <c r="AJ7" s="70">
        <f t="shared" si="8"/>
        <v>26.733333333333334</v>
      </c>
      <c r="AK7" s="70">
        <f t="shared" si="9"/>
        <v>2.8884828774519917</v>
      </c>
      <c r="AL7" s="24">
        <v>0.78</v>
      </c>
      <c r="AM7" s="24">
        <v>0.6</v>
      </c>
      <c r="AN7" s="24">
        <v>0.59</v>
      </c>
      <c r="AO7" s="24">
        <f t="shared" si="10"/>
        <v>0.65666666666666662</v>
      </c>
      <c r="AP7" s="75">
        <f t="shared" si="11"/>
        <v>0.10692676621563713</v>
      </c>
      <c r="AQ7" s="43">
        <v>45955</v>
      </c>
      <c r="AR7" s="22" t="s">
        <v>53</v>
      </c>
      <c r="AS7" s="36"/>
    </row>
    <row r="8" spans="2:45">
      <c r="F8" s="14" t="s">
        <v>51</v>
      </c>
      <c r="G8" s="45">
        <v>2</v>
      </c>
      <c r="H8" s="45" t="s">
        <v>10</v>
      </c>
      <c r="I8" s="45" t="s">
        <v>11</v>
      </c>
      <c r="J8" s="45">
        <v>1</v>
      </c>
      <c r="K8" s="1">
        <v>6</v>
      </c>
      <c r="L8" s="1" t="s">
        <v>52</v>
      </c>
      <c r="M8" s="41">
        <v>20.149999999999999</v>
      </c>
      <c r="N8" s="41">
        <v>20.14</v>
      </c>
      <c r="O8" s="41">
        <v>20.14</v>
      </c>
      <c r="P8" s="69">
        <f t="shared" si="6"/>
        <v>20.143333333333334</v>
      </c>
      <c r="Q8" s="69">
        <f t="shared" si="7"/>
        <v>5.7735026918951087E-3</v>
      </c>
      <c r="R8" s="41">
        <v>10.220000000000001</v>
      </c>
      <c r="S8" s="41">
        <v>10.24</v>
      </c>
      <c r="T8" s="41">
        <v>10.220000000000001</v>
      </c>
      <c r="U8" s="69">
        <f t="shared" si="0"/>
        <v>10.226666666666667</v>
      </c>
      <c r="V8" s="69">
        <f t="shared" si="1"/>
        <v>1.154700538379227E-2</v>
      </c>
      <c r="W8" s="41">
        <v>5.17</v>
      </c>
      <c r="X8" s="41">
        <v>5.18</v>
      </c>
      <c r="Y8" s="41">
        <v>5.17</v>
      </c>
      <c r="Z8" s="69">
        <f t="shared" si="2"/>
        <v>5.1733333333333329</v>
      </c>
      <c r="AA8" s="69">
        <f t="shared" si="3"/>
        <v>5.7735026918961348E-3</v>
      </c>
      <c r="AB8" s="31"/>
      <c r="AC8" s="31"/>
      <c r="AD8" s="31"/>
      <c r="AE8" s="31" t="e">
        <f t="shared" si="4"/>
        <v>#DIV/0!</v>
      </c>
      <c r="AF8" s="31" t="e">
        <f t="shared" si="5"/>
        <v>#DIV/0!</v>
      </c>
      <c r="AG8" s="41">
        <v>25.7</v>
      </c>
      <c r="AH8" s="41">
        <v>26.3</v>
      </c>
      <c r="AI8" s="41">
        <v>26.5</v>
      </c>
      <c r="AJ8" s="69">
        <f t="shared" si="8"/>
        <v>26.166666666666668</v>
      </c>
      <c r="AK8" s="69">
        <f t="shared" si="9"/>
        <v>0.41633319989322704</v>
      </c>
      <c r="AL8" s="54">
        <v>0.7</v>
      </c>
      <c r="AM8" s="54">
        <v>0.68</v>
      </c>
      <c r="AN8" s="54">
        <v>0.68</v>
      </c>
      <c r="AO8" s="15">
        <f t="shared" si="10"/>
        <v>0.68666666666666665</v>
      </c>
      <c r="AP8" s="74">
        <f t="shared" si="11"/>
        <v>1.1547005383792462E-2</v>
      </c>
      <c r="AQ8" s="50">
        <v>45955</v>
      </c>
      <c r="AR8" s="41" t="s">
        <v>53</v>
      </c>
      <c r="AS8" s="55"/>
    </row>
    <row r="9" spans="2:45">
      <c r="F9" s="14" t="s">
        <v>51</v>
      </c>
      <c r="G9" s="45">
        <v>2</v>
      </c>
      <c r="H9" s="45" t="s">
        <v>10</v>
      </c>
      <c r="I9" s="45" t="s">
        <v>11</v>
      </c>
      <c r="J9" s="45">
        <v>1</v>
      </c>
      <c r="K9" s="1">
        <v>7</v>
      </c>
      <c r="L9" s="1" t="s">
        <v>55</v>
      </c>
      <c r="M9" s="41">
        <v>20.09</v>
      </c>
      <c r="N9" s="41">
        <v>20.100000000000001</v>
      </c>
      <c r="O9" s="41">
        <v>20.11</v>
      </c>
      <c r="P9" s="69">
        <f t="shared" si="6"/>
        <v>20.099999999999998</v>
      </c>
      <c r="Q9" s="69">
        <f t="shared" si="7"/>
        <v>9.9999999999997868E-3</v>
      </c>
      <c r="R9" s="41">
        <v>10.25</v>
      </c>
      <c r="S9" s="41">
        <v>10.25</v>
      </c>
      <c r="T9" s="41">
        <v>10.24</v>
      </c>
      <c r="U9" s="69">
        <f t="shared" si="0"/>
        <v>10.246666666666668</v>
      </c>
      <c r="V9" s="69">
        <f t="shared" si="1"/>
        <v>5.7735026918961348E-3</v>
      </c>
      <c r="W9" s="41">
        <v>5.16</v>
      </c>
      <c r="X9" s="41">
        <v>5.16</v>
      </c>
      <c r="Y9" s="41">
        <v>5.15</v>
      </c>
      <c r="Z9" s="69">
        <f t="shared" si="2"/>
        <v>5.1566666666666672</v>
      </c>
      <c r="AA9" s="69">
        <f t="shared" si="3"/>
        <v>5.7735026918961348E-3</v>
      </c>
      <c r="AB9" s="1"/>
      <c r="AC9" s="1"/>
      <c r="AD9" s="1"/>
      <c r="AE9" s="1" t="e">
        <f t="shared" si="4"/>
        <v>#DIV/0!</v>
      </c>
      <c r="AF9" s="1" t="e">
        <f t="shared" si="5"/>
        <v>#DIV/0!</v>
      </c>
      <c r="AG9" s="41">
        <v>25.7</v>
      </c>
      <c r="AH9" s="41">
        <v>26.3</v>
      </c>
      <c r="AI9" s="41">
        <v>26.5</v>
      </c>
      <c r="AJ9" s="69">
        <f t="shared" si="8"/>
        <v>26.166666666666668</v>
      </c>
      <c r="AK9" s="69">
        <f t="shared" si="9"/>
        <v>0.41633319989322704</v>
      </c>
      <c r="AL9" s="54">
        <v>0.7</v>
      </c>
      <c r="AM9" s="54">
        <v>0.68</v>
      </c>
      <c r="AN9" s="54">
        <v>0.68</v>
      </c>
      <c r="AO9" s="15">
        <f t="shared" si="10"/>
        <v>0.68666666666666665</v>
      </c>
      <c r="AP9" s="74">
        <f t="shared" si="11"/>
        <v>1.1547005383792462E-2</v>
      </c>
      <c r="AQ9" s="50">
        <v>45955</v>
      </c>
      <c r="AR9" s="41" t="s">
        <v>53</v>
      </c>
      <c r="AS9" s="55"/>
    </row>
    <row r="10" spans="2:45">
      <c r="F10" s="14" t="s">
        <v>51</v>
      </c>
      <c r="G10" s="45">
        <v>2</v>
      </c>
      <c r="H10" s="45" t="s">
        <v>10</v>
      </c>
      <c r="I10" s="45" t="s">
        <v>11</v>
      </c>
      <c r="J10" s="45">
        <v>1</v>
      </c>
      <c r="K10" s="1">
        <v>8</v>
      </c>
      <c r="L10" s="1" t="s">
        <v>57</v>
      </c>
      <c r="M10" s="41">
        <v>20.13</v>
      </c>
      <c r="N10" s="41">
        <v>20.13</v>
      </c>
      <c r="O10" s="41">
        <v>20.14</v>
      </c>
      <c r="P10" s="69">
        <f t="shared" si="6"/>
        <v>20.133333333333333</v>
      </c>
      <c r="Q10" s="69">
        <f t="shared" si="7"/>
        <v>5.77350269189716E-3</v>
      </c>
      <c r="R10" s="41">
        <v>10.29</v>
      </c>
      <c r="S10" s="41">
        <v>10.29</v>
      </c>
      <c r="T10" s="41">
        <v>10.28</v>
      </c>
      <c r="U10" s="69">
        <f t="shared" si="0"/>
        <v>10.286666666666667</v>
      </c>
      <c r="V10" s="69">
        <f t="shared" si="1"/>
        <v>5.7735026918961348E-3</v>
      </c>
      <c r="W10" s="41">
        <v>5.17</v>
      </c>
      <c r="X10" s="41">
        <v>5.15</v>
      </c>
      <c r="Y10" s="41">
        <v>5.16</v>
      </c>
      <c r="Z10" s="69">
        <f t="shared" si="2"/>
        <v>5.16</v>
      </c>
      <c r="AA10" s="69">
        <f t="shared" si="3"/>
        <v>9.9999999999997868E-3</v>
      </c>
      <c r="AB10" s="1"/>
      <c r="AC10" s="1"/>
      <c r="AD10" s="1"/>
      <c r="AE10" s="1" t="e">
        <f t="shared" si="4"/>
        <v>#DIV/0!</v>
      </c>
      <c r="AF10" s="1" t="e">
        <f t="shared" si="5"/>
        <v>#DIV/0!</v>
      </c>
      <c r="AG10" s="41">
        <v>25.7</v>
      </c>
      <c r="AH10" s="41">
        <v>26.3</v>
      </c>
      <c r="AI10" s="41">
        <v>26.5</v>
      </c>
      <c r="AJ10" s="69">
        <f t="shared" si="8"/>
        <v>26.166666666666668</v>
      </c>
      <c r="AK10" s="69">
        <f t="shared" si="9"/>
        <v>0.41633319989322704</v>
      </c>
      <c r="AL10" s="54">
        <v>0.7</v>
      </c>
      <c r="AM10" s="54">
        <v>0.68</v>
      </c>
      <c r="AN10" s="54">
        <v>0.68</v>
      </c>
      <c r="AO10" s="15">
        <f t="shared" si="10"/>
        <v>0.68666666666666665</v>
      </c>
      <c r="AP10" s="74">
        <f t="shared" si="11"/>
        <v>1.1547005383792462E-2</v>
      </c>
      <c r="AQ10" s="50">
        <v>45955</v>
      </c>
      <c r="AR10" s="41" t="s">
        <v>53</v>
      </c>
      <c r="AS10" s="55"/>
    </row>
    <row r="11" spans="2:45">
      <c r="F11" s="14" t="s">
        <v>51</v>
      </c>
      <c r="G11" s="45">
        <v>2</v>
      </c>
      <c r="H11" s="45" t="s">
        <v>10</v>
      </c>
      <c r="I11" s="45" t="s">
        <v>11</v>
      </c>
      <c r="J11" s="45">
        <v>1</v>
      </c>
      <c r="K11" s="1">
        <v>9</v>
      </c>
      <c r="L11" s="1" t="s">
        <v>59</v>
      </c>
      <c r="M11" s="41">
        <v>20.2</v>
      </c>
      <c r="N11" s="41">
        <v>20.2</v>
      </c>
      <c r="O11" s="41">
        <v>20.190000000000001</v>
      </c>
      <c r="P11" s="69">
        <f t="shared" si="6"/>
        <v>20.196666666666669</v>
      </c>
      <c r="Q11" s="69">
        <f t="shared" si="7"/>
        <v>5.7735026918951087E-3</v>
      </c>
      <c r="R11" s="41">
        <v>10.27</v>
      </c>
      <c r="S11" s="41">
        <v>10.27</v>
      </c>
      <c r="T11" s="41">
        <v>10.27</v>
      </c>
      <c r="U11" s="69">
        <f t="shared" si="0"/>
        <v>10.27</v>
      </c>
      <c r="V11" s="69">
        <f t="shared" si="1"/>
        <v>0</v>
      </c>
      <c r="W11" s="41">
        <v>5.17</v>
      </c>
      <c r="X11" s="41">
        <v>5.16</v>
      </c>
      <c r="Y11" s="41">
        <v>5.17</v>
      </c>
      <c r="Z11" s="69">
        <f t="shared" si="2"/>
        <v>5.166666666666667</v>
      </c>
      <c r="AA11" s="69">
        <f t="shared" si="3"/>
        <v>5.7735026918961348E-3</v>
      </c>
      <c r="AB11" s="1"/>
      <c r="AC11" s="1"/>
      <c r="AD11" s="1"/>
      <c r="AE11" s="1" t="e">
        <f t="shared" si="4"/>
        <v>#DIV/0!</v>
      </c>
      <c r="AF11" s="1" t="e">
        <f t="shared" si="5"/>
        <v>#DIV/0!</v>
      </c>
      <c r="AG11" s="41">
        <v>25.7</v>
      </c>
      <c r="AH11" s="41">
        <v>26.3</v>
      </c>
      <c r="AI11" s="41">
        <v>26.5</v>
      </c>
      <c r="AJ11" s="69">
        <f t="shared" si="8"/>
        <v>26.166666666666668</v>
      </c>
      <c r="AK11" s="69">
        <f t="shared" si="9"/>
        <v>0.41633319989322704</v>
      </c>
      <c r="AL11" s="54">
        <v>0.7</v>
      </c>
      <c r="AM11" s="54">
        <v>0.68</v>
      </c>
      <c r="AN11" s="54">
        <v>0.68</v>
      </c>
      <c r="AO11" s="15">
        <f t="shared" si="10"/>
        <v>0.68666666666666665</v>
      </c>
      <c r="AP11" s="74">
        <f t="shared" si="11"/>
        <v>1.1547005383792462E-2</v>
      </c>
      <c r="AQ11" s="50">
        <v>45955</v>
      </c>
      <c r="AR11" s="41" t="s">
        <v>53</v>
      </c>
      <c r="AS11" s="55"/>
    </row>
    <row r="12" spans="2:45" ht="15.75" thickBot="1">
      <c r="F12" s="14" t="s">
        <v>51</v>
      </c>
      <c r="G12" s="45">
        <v>2</v>
      </c>
      <c r="H12" s="45" t="s">
        <v>10</v>
      </c>
      <c r="I12" s="45" t="s">
        <v>11</v>
      </c>
      <c r="J12" s="45">
        <v>1</v>
      </c>
      <c r="K12" s="1">
        <v>10</v>
      </c>
      <c r="L12" s="1" t="s">
        <v>60</v>
      </c>
      <c r="M12" s="41">
        <v>20.16</v>
      </c>
      <c r="N12" s="41">
        <v>20.18</v>
      </c>
      <c r="O12" s="41">
        <v>20.16</v>
      </c>
      <c r="P12" s="69">
        <f t="shared" si="6"/>
        <v>20.166666666666668</v>
      </c>
      <c r="Q12" s="69">
        <f t="shared" si="7"/>
        <v>1.154700538379227E-2</v>
      </c>
      <c r="R12" s="41">
        <v>10.24</v>
      </c>
      <c r="S12" s="41">
        <v>10.25</v>
      </c>
      <c r="T12" s="41">
        <v>10.24</v>
      </c>
      <c r="U12" s="69">
        <f t="shared" si="0"/>
        <v>10.243333333333334</v>
      </c>
      <c r="V12" s="69">
        <f t="shared" si="1"/>
        <v>5.7735026918961348E-3</v>
      </c>
      <c r="W12" s="41">
        <v>5.17</v>
      </c>
      <c r="X12" s="41">
        <v>5.17</v>
      </c>
      <c r="Y12" s="41">
        <v>5.16</v>
      </c>
      <c r="Z12" s="69">
        <f t="shared" si="2"/>
        <v>5.166666666666667</v>
      </c>
      <c r="AA12" s="69">
        <f t="shared" si="3"/>
        <v>5.7735026918961348E-3</v>
      </c>
      <c r="AB12" s="1"/>
      <c r="AC12" s="1"/>
      <c r="AD12" s="1"/>
      <c r="AE12" s="1" t="e">
        <f t="shared" si="4"/>
        <v>#DIV/0!</v>
      </c>
      <c r="AF12" s="1" t="e">
        <f t="shared" si="5"/>
        <v>#DIV/0!</v>
      </c>
      <c r="AG12" s="41">
        <v>25.7</v>
      </c>
      <c r="AH12" s="41">
        <v>26.3</v>
      </c>
      <c r="AI12" s="41">
        <v>26.5</v>
      </c>
      <c r="AJ12" s="69">
        <f t="shared" si="8"/>
        <v>26.166666666666668</v>
      </c>
      <c r="AK12" s="69">
        <f t="shared" si="9"/>
        <v>0.41633319989322704</v>
      </c>
      <c r="AL12" s="54">
        <v>0.7</v>
      </c>
      <c r="AM12" s="54">
        <v>0.68</v>
      </c>
      <c r="AN12" s="54">
        <v>0.68</v>
      </c>
      <c r="AO12" s="15">
        <f t="shared" si="10"/>
        <v>0.68666666666666665</v>
      </c>
      <c r="AP12" s="74">
        <f t="shared" si="11"/>
        <v>1.1547005383792462E-2</v>
      </c>
      <c r="AQ12" s="50">
        <v>45955</v>
      </c>
      <c r="AR12" s="41" t="s">
        <v>53</v>
      </c>
      <c r="AS12" s="55"/>
    </row>
    <row r="13" spans="2:45">
      <c r="F13" s="30" t="s">
        <v>51</v>
      </c>
      <c r="G13" s="44">
        <v>3</v>
      </c>
      <c r="H13" s="44" t="s">
        <v>12</v>
      </c>
      <c r="I13" s="44" t="s">
        <v>9</v>
      </c>
      <c r="J13" s="44">
        <v>1</v>
      </c>
      <c r="K13" s="31">
        <v>11</v>
      </c>
      <c r="L13" s="31" t="s">
        <v>52</v>
      </c>
      <c r="M13" s="47">
        <v>40.159999999999997</v>
      </c>
      <c r="N13" s="47">
        <v>40.14</v>
      </c>
      <c r="O13" s="47">
        <v>40.08</v>
      </c>
      <c r="P13" s="68">
        <f t="shared" si="6"/>
        <v>40.126666666666665</v>
      </c>
      <c r="Q13" s="68">
        <f t="shared" si="7"/>
        <v>4.1633319989322334E-2</v>
      </c>
      <c r="R13" s="47">
        <v>20.170000000000002</v>
      </c>
      <c r="S13" s="47">
        <v>20.18</v>
      </c>
      <c r="T13" s="47">
        <v>20.170000000000002</v>
      </c>
      <c r="U13" s="68">
        <f t="shared" si="0"/>
        <v>20.173333333333336</v>
      </c>
      <c r="V13" s="68">
        <f t="shared" si="1"/>
        <v>5.7735026918951087E-3</v>
      </c>
      <c r="W13" s="47">
        <v>9.99</v>
      </c>
      <c r="X13" s="47">
        <v>9.98</v>
      </c>
      <c r="Y13" s="47">
        <v>9.99</v>
      </c>
      <c r="Z13" s="68">
        <f t="shared" si="2"/>
        <v>9.9866666666666664</v>
      </c>
      <c r="AA13" s="68">
        <f t="shared" si="3"/>
        <v>5.7735026918961348E-3</v>
      </c>
      <c r="AB13" s="31"/>
      <c r="AC13" s="31"/>
      <c r="AD13" s="31"/>
      <c r="AE13" s="31" t="e">
        <f t="shared" si="4"/>
        <v>#DIV/0!</v>
      </c>
      <c r="AF13" s="31" t="e">
        <f t="shared" si="5"/>
        <v>#DIV/0!</v>
      </c>
      <c r="AG13" s="47">
        <v>25.8</v>
      </c>
      <c r="AH13" s="47">
        <v>29.2</v>
      </c>
      <c r="AI13" s="47">
        <v>29.5</v>
      </c>
      <c r="AJ13" s="68">
        <f t="shared" si="8"/>
        <v>28.166666666666668</v>
      </c>
      <c r="AK13" s="68">
        <f t="shared" si="9"/>
        <v>2.0550750189064462</v>
      </c>
      <c r="AL13" s="51">
        <v>0.7</v>
      </c>
      <c r="AM13" s="51">
        <v>0.57999999999999996</v>
      </c>
      <c r="AN13" s="51">
        <v>0.56000000000000005</v>
      </c>
      <c r="AO13" s="33">
        <f t="shared" si="10"/>
        <v>0.61333333333333329</v>
      </c>
      <c r="AP13" s="73">
        <f t="shared" si="11"/>
        <v>7.5718777944003876E-2</v>
      </c>
      <c r="AQ13" s="52">
        <v>45955</v>
      </c>
      <c r="AR13" s="47" t="s">
        <v>53</v>
      </c>
      <c r="AS13" s="53"/>
    </row>
    <row r="14" spans="2:45">
      <c r="F14" s="14" t="s">
        <v>51</v>
      </c>
      <c r="G14" s="45">
        <v>3</v>
      </c>
      <c r="H14" s="45" t="s">
        <v>12</v>
      </c>
      <c r="I14" s="45" t="s">
        <v>9</v>
      </c>
      <c r="J14" s="45">
        <v>1</v>
      </c>
      <c r="K14" s="1">
        <v>12</v>
      </c>
      <c r="L14" s="1" t="s">
        <v>55</v>
      </c>
      <c r="M14" s="41">
        <v>40.15</v>
      </c>
      <c r="N14" s="41">
        <v>40.159999999999997</v>
      </c>
      <c r="O14" s="41">
        <v>40.159999999999997</v>
      </c>
      <c r="P14" s="69">
        <f t="shared" si="6"/>
        <v>40.156666666666666</v>
      </c>
      <c r="Q14" s="69">
        <f t="shared" si="7"/>
        <v>5.7735026918951087E-3</v>
      </c>
      <c r="R14" s="41">
        <v>20.149999999999999</v>
      </c>
      <c r="S14" s="41">
        <v>20.149999999999999</v>
      </c>
      <c r="T14" s="41">
        <v>20.170000000000002</v>
      </c>
      <c r="U14" s="69">
        <f t="shared" si="0"/>
        <v>20.156666666666666</v>
      </c>
      <c r="V14" s="69">
        <f t="shared" si="1"/>
        <v>1.154700538379432E-2</v>
      </c>
      <c r="W14" s="41">
        <v>9.99</v>
      </c>
      <c r="X14" s="41">
        <v>9.99</v>
      </c>
      <c r="Y14" s="41">
        <v>10</v>
      </c>
      <c r="Z14" s="69">
        <f t="shared" si="2"/>
        <v>9.9933333333333341</v>
      </c>
      <c r="AA14" s="69">
        <f t="shared" si="3"/>
        <v>5.7735026918961348E-3</v>
      </c>
      <c r="AB14" s="1"/>
      <c r="AC14" s="1"/>
      <c r="AD14" s="1"/>
      <c r="AE14" s="1" t="e">
        <f t="shared" si="4"/>
        <v>#DIV/0!</v>
      </c>
      <c r="AF14" s="1" t="e">
        <f t="shared" si="5"/>
        <v>#DIV/0!</v>
      </c>
      <c r="AG14" s="41">
        <v>25.8</v>
      </c>
      <c r="AH14" s="41">
        <v>29.2</v>
      </c>
      <c r="AI14" s="41">
        <v>29.5</v>
      </c>
      <c r="AJ14" s="69">
        <f t="shared" si="8"/>
        <v>28.166666666666668</v>
      </c>
      <c r="AK14" s="69">
        <f t="shared" si="9"/>
        <v>2.0550750189064462</v>
      </c>
      <c r="AL14" s="54">
        <v>0.7</v>
      </c>
      <c r="AM14" s="54">
        <v>0.57999999999999996</v>
      </c>
      <c r="AN14" s="54">
        <v>0.56000000000000005</v>
      </c>
      <c r="AO14" s="15">
        <f t="shared" si="10"/>
        <v>0.61333333333333329</v>
      </c>
      <c r="AP14" s="74">
        <f t="shared" si="11"/>
        <v>7.5718777944003876E-2</v>
      </c>
      <c r="AQ14" s="50">
        <v>45955</v>
      </c>
      <c r="AR14" s="41" t="s">
        <v>53</v>
      </c>
      <c r="AS14" s="55"/>
    </row>
    <row r="15" spans="2:45">
      <c r="F15" s="14" t="s">
        <v>51</v>
      </c>
      <c r="G15" s="45">
        <v>3</v>
      </c>
      <c r="H15" s="45" t="s">
        <v>12</v>
      </c>
      <c r="I15" s="45" t="s">
        <v>9</v>
      </c>
      <c r="J15" s="45">
        <v>1</v>
      </c>
      <c r="K15" s="1">
        <v>13</v>
      </c>
      <c r="L15" s="1" t="s">
        <v>57</v>
      </c>
      <c r="M15" s="41">
        <v>40.14</v>
      </c>
      <c r="N15" s="41">
        <v>40.14</v>
      </c>
      <c r="O15" s="41">
        <v>40.159999999999997</v>
      </c>
      <c r="P15" s="69">
        <f t="shared" si="6"/>
        <v>40.146666666666668</v>
      </c>
      <c r="Q15" s="69">
        <f t="shared" si="7"/>
        <v>1.1547005383790217E-2</v>
      </c>
      <c r="R15" s="41">
        <v>20.14</v>
      </c>
      <c r="S15" s="41">
        <v>20.149999999999999</v>
      </c>
      <c r="T15" s="41">
        <v>20.14</v>
      </c>
      <c r="U15" s="69">
        <f t="shared" si="0"/>
        <v>20.143333333333334</v>
      </c>
      <c r="V15" s="69">
        <f t="shared" si="1"/>
        <v>5.7735026918951087E-3</v>
      </c>
      <c r="W15" s="41">
        <v>9.98</v>
      </c>
      <c r="X15" s="41">
        <v>9.98</v>
      </c>
      <c r="Y15" s="41">
        <v>9.98</v>
      </c>
      <c r="Z15" s="69">
        <f t="shared" si="2"/>
        <v>9.98</v>
      </c>
      <c r="AA15" s="69">
        <f t="shared" si="3"/>
        <v>0</v>
      </c>
      <c r="AB15" s="1"/>
      <c r="AC15" s="1"/>
      <c r="AD15" s="1"/>
      <c r="AE15" s="1" t="e">
        <f t="shared" si="4"/>
        <v>#DIV/0!</v>
      </c>
      <c r="AF15" s="1" t="e">
        <f t="shared" si="5"/>
        <v>#DIV/0!</v>
      </c>
      <c r="AG15" s="41">
        <v>25.8</v>
      </c>
      <c r="AH15" s="41">
        <v>29.2</v>
      </c>
      <c r="AI15" s="41">
        <v>29.5</v>
      </c>
      <c r="AJ15" s="69">
        <f t="shared" si="8"/>
        <v>28.166666666666668</v>
      </c>
      <c r="AK15" s="69">
        <f t="shared" si="9"/>
        <v>2.0550750189064462</v>
      </c>
      <c r="AL15" s="54">
        <v>0.7</v>
      </c>
      <c r="AM15" s="54">
        <v>0.57999999999999996</v>
      </c>
      <c r="AN15" s="54">
        <v>0.56000000000000005</v>
      </c>
      <c r="AO15" s="15">
        <f t="shared" si="10"/>
        <v>0.61333333333333329</v>
      </c>
      <c r="AP15" s="74">
        <f t="shared" si="11"/>
        <v>7.5718777944003876E-2</v>
      </c>
      <c r="AQ15" s="50">
        <v>45955</v>
      </c>
      <c r="AR15" s="41" t="s">
        <v>53</v>
      </c>
      <c r="AS15" s="55"/>
    </row>
    <row r="16" spans="2:45">
      <c r="F16" s="14" t="s">
        <v>51</v>
      </c>
      <c r="G16" s="45">
        <v>3</v>
      </c>
      <c r="H16" s="45" t="s">
        <v>12</v>
      </c>
      <c r="I16" s="45" t="s">
        <v>9</v>
      </c>
      <c r="J16" s="45">
        <v>1</v>
      </c>
      <c r="K16" s="1">
        <v>14</v>
      </c>
      <c r="L16" s="1" t="s">
        <v>59</v>
      </c>
      <c r="M16" s="41">
        <v>40.11</v>
      </c>
      <c r="N16" s="41">
        <v>40.130000000000003</v>
      </c>
      <c r="O16" s="41">
        <v>40.130000000000003</v>
      </c>
      <c r="P16" s="69">
        <f t="shared" si="6"/>
        <v>40.123333333333335</v>
      </c>
      <c r="Q16" s="69">
        <f t="shared" si="7"/>
        <v>1.154700538379432E-2</v>
      </c>
      <c r="R16" s="41">
        <v>20.190000000000001</v>
      </c>
      <c r="S16" s="41">
        <v>20.170000000000002</v>
      </c>
      <c r="T16" s="41">
        <v>20.18</v>
      </c>
      <c r="U16" s="69">
        <f t="shared" si="0"/>
        <v>20.18</v>
      </c>
      <c r="V16" s="69">
        <f t="shared" si="1"/>
        <v>9.9999999999997868E-3</v>
      </c>
      <c r="W16" s="41">
        <v>10</v>
      </c>
      <c r="X16" s="41">
        <v>10</v>
      </c>
      <c r="Y16" s="41">
        <v>10.01</v>
      </c>
      <c r="Z16" s="69">
        <f t="shared" si="2"/>
        <v>10.003333333333332</v>
      </c>
      <c r="AA16" s="69">
        <f t="shared" si="3"/>
        <v>5.7735026918961348E-3</v>
      </c>
      <c r="AB16" s="1"/>
      <c r="AC16" s="1"/>
      <c r="AD16" s="1"/>
      <c r="AE16" s="1" t="e">
        <f t="shared" si="4"/>
        <v>#DIV/0!</v>
      </c>
      <c r="AF16" s="1" t="e">
        <f t="shared" si="5"/>
        <v>#DIV/0!</v>
      </c>
      <c r="AG16" s="41">
        <v>25.8</v>
      </c>
      <c r="AH16" s="41">
        <v>29.2</v>
      </c>
      <c r="AI16" s="41">
        <v>29.5</v>
      </c>
      <c r="AJ16" s="69">
        <f t="shared" si="8"/>
        <v>28.166666666666668</v>
      </c>
      <c r="AK16" s="69">
        <f t="shared" si="9"/>
        <v>2.0550750189064462</v>
      </c>
      <c r="AL16" s="54">
        <v>0.7</v>
      </c>
      <c r="AM16" s="54">
        <v>0.57999999999999996</v>
      </c>
      <c r="AN16" s="54">
        <v>0.56000000000000005</v>
      </c>
      <c r="AO16" s="15">
        <f t="shared" si="10"/>
        <v>0.61333333333333329</v>
      </c>
      <c r="AP16" s="74">
        <f t="shared" si="11"/>
        <v>7.5718777944003876E-2</v>
      </c>
      <c r="AQ16" s="50">
        <v>45955</v>
      </c>
      <c r="AR16" s="41" t="s">
        <v>53</v>
      </c>
      <c r="AS16" s="55"/>
    </row>
    <row r="17" spans="6:45" ht="15.75" thickBot="1">
      <c r="F17" s="19" t="s">
        <v>51</v>
      </c>
      <c r="G17" s="46">
        <v>3</v>
      </c>
      <c r="H17" s="46" t="s">
        <v>12</v>
      </c>
      <c r="I17" s="46" t="s">
        <v>9</v>
      </c>
      <c r="J17" s="46">
        <v>1</v>
      </c>
      <c r="K17" s="22">
        <v>15</v>
      </c>
      <c r="L17" s="22" t="s">
        <v>60</v>
      </c>
      <c r="M17" s="48">
        <v>40.14</v>
      </c>
      <c r="N17" s="48">
        <v>40.15</v>
      </c>
      <c r="O17" s="48">
        <v>40.15</v>
      </c>
      <c r="P17" s="70">
        <f t="shared" si="6"/>
        <v>40.146666666666668</v>
      </c>
      <c r="Q17" s="70">
        <f t="shared" si="7"/>
        <v>5.7735026918951087E-3</v>
      </c>
      <c r="R17" s="48">
        <v>20.2</v>
      </c>
      <c r="S17" s="48">
        <v>20.2</v>
      </c>
      <c r="T17" s="48">
        <v>20.170000000000002</v>
      </c>
      <c r="U17" s="70">
        <f t="shared" si="0"/>
        <v>20.190000000000001</v>
      </c>
      <c r="V17" s="70">
        <f t="shared" si="1"/>
        <v>1.7320508075687378E-2</v>
      </c>
      <c r="W17" s="48">
        <v>9.98</v>
      </c>
      <c r="X17" s="48">
        <v>9.98</v>
      </c>
      <c r="Y17" s="48">
        <v>9.98</v>
      </c>
      <c r="Z17" s="70">
        <f t="shared" si="2"/>
        <v>9.98</v>
      </c>
      <c r="AA17" s="70">
        <f t="shared" si="3"/>
        <v>0</v>
      </c>
      <c r="AB17" s="22"/>
      <c r="AC17" s="22"/>
      <c r="AD17" s="22"/>
      <c r="AE17" s="22" t="e">
        <f t="shared" ref="AE17:AE37" si="12">AVERAGE(AB17:AD17)</f>
        <v>#DIV/0!</v>
      </c>
      <c r="AF17" s="22" t="e">
        <f t="shared" ref="AF17:AF37" si="13">_xlfn.STDEV.S(AB17:AD17)</f>
        <v>#DIV/0!</v>
      </c>
      <c r="AG17" s="48">
        <v>25.8</v>
      </c>
      <c r="AH17" s="48">
        <v>29.2</v>
      </c>
      <c r="AI17" s="48">
        <v>29.5</v>
      </c>
      <c r="AJ17" s="70">
        <f t="shared" si="8"/>
        <v>28.166666666666668</v>
      </c>
      <c r="AK17" s="70">
        <f t="shared" si="9"/>
        <v>2.0550750189064462</v>
      </c>
      <c r="AL17" s="56">
        <v>0.7</v>
      </c>
      <c r="AM17" s="56">
        <v>0.57999999999999996</v>
      </c>
      <c r="AN17" s="56">
        <v>0.56000000000000005</v>
      </c>
      <c r="AO17" s="24">
        <f t="shared" si="10"/>
        <v>0.61333333333333329</v>
      </c>
      <c r="AP17" s="75">
        <f t="shared" si="11"/>
        <v>7.5718777944003876E-2</v>
      </c>
      <c r="AQ17" s="57">
        <v>45955</v>
      </c>
      <c r="AR17" s="48" t="s">
        <v>53</v>
      </c>
      <c r="AS17" s="58"/>
    </row>
    <row r="18" spans="6:45">
      <c r="F18" s="30" t="s">
        <v>51</v>
      </c>
      <c r="G18" s="44">
        <v>4</v>
      </c>
      <c r="H18" s="44" t="s">
        <v>10</v>
      </c>
      <c r="I18" s="44" t="s">
        <v>9</v>
      </c>
      <c r="J18" s="47">
        <v>1</v>
      </c>
      <c r="K18" s="31">
        <v>16</v>
      </c>
      <c r="L18" s="31" t="s">
        <v>52</v>
      </c>
      <c r="M18" s="47">
        <v>40.119999999999997</v>
      </c>
      <c r="N18" s="47">
        <v>40.14</v>
      </c>
      <c r="O18" s="47">
        <v>40.130000000000003</v>
      </c>
      <c r="P18" s="68">
        <f t="shared" si="6"/>
        <v>40.129999999999995</v>
      </c>
      <c r="Q18" s="68">
        <f t="shared" si="7"/>
        <v>1.0000000000001563E-2</v>
      </c>
      <c r="R18" s="47">
        <v>20.16</v>
      </c>
      <c r="S18" s="47">
        <v>20.149999999999999</v>
      </c>
      <c r="T18" s="47">
        <v>20.149999999999999</v>
      </c>
      <c r="U18" s="68">
        <f t="shared" si="0"/>
        <v>20.153333333333332</v>
      </c>
      <c r="V18" s="68">
        <f t="shared" si="1"/>
        <v>5.77350269189716E-3</v>
      </c>
      <c r="W18" s="47">
        <v>10</v>
      </c>
      <c r="X18" s="47">
        <v>9.99</v>
      </c>
      <c r="Y18" s="47">
        <v>9.98</v>
      </c>
      <c r="Z18" s="68">
        <f t="shared" si="2"/>
        <v>9.99</v>
      </c>
      <c r="AA18" s="68">
        <f t="shared" si="3"/>
        <v>9.9999999999997868E-3</v>
      </c>
      <c r="AB18" s="31"/>
      <c r="AC18" s="31"/>
      <c r="AD18" s="31"/>
      <c r="AE18" s="31" t="e">
        <f t="shared" si="12"/>
        <v>#DIV/0!</v>
      </c>
      <c r="AF18" s="31" t="e">
        <f t="shared" si="13"/>
        <v>#DIV/0!</v>
      </c>
      <c r="AG18" s="47">
        <v>27.9</v>
      </c>
      <c r="AH18" s="47">
        <v>29.4</v>
      </c>
      <c r="AI18" s="47">
        <v>29.3</v>
      </c>
      <c r="AJ18" s="68">
        <f t="shared" si="8"/>
        <v>28.866666666666664</v>
      </c>
      <c r="AK18" s="68">
        <f t="shared" si="9"/>
        <v>0.83864970836060881</v>
      </c>
      <c r="AL18" s="51">
        <v>0.63</v>
      </c>
      <c r="AM18" s="51">
        <v>0.56999999999999995</v>
      </c>
      <c r="AN18" s="51">
        <v>0.56000000000000005</v>
      </c>
      <c r="AO18" s="33">
        <f t="shared" si="10"/>
        <v>0.58666666666666667</v>
      </c>
      <c r="AP18" s="73">
        <f t="shared" si="11"/>
        <v>3.785938897200182E-2</v>
      </c>
      <c r="AQ18" s="52">
        <v>45955</v>
      </c>
      <c r="AR18" s="47" t="s">
        <v>53</v>
      </c>
      <c r="AS18" s="53"/>
    </row>
    <row r="19" spans="6:45">
      <c r="F19" s="14" t="s">
        <v>51</v>
      </c>
      <c r="G19" s="45">
        <v>4</v>
      </c>
      <c r="H19" s="45" t="s">
        <v>10</v>
      </c>
      <c r="I19" s="45" t="s">
        <v>9</v>
      </c>
      <c r="J19" s="41">
        <v>1</v>
      </c>
      <c r="K19" s="1">
        <v>17</v>
      </c>
      <c r="L19" s="1" t="s">
        <v>55</v>
      </c>
      <c r="M19" s="41">
        <v>40.14</v>
      </c>
      <c r="N19" s="41">
        <v>40.14</v>
      </c>
      <c r="O19" s="41">
        <v>40.15</v>
      </c>
      <c r="P19" s="69">
        <f t="shared" si="6"/>
        <v>40.143333333333338</v>
      </c>
      <c r="Q19" s="69">
        <f t="shared" si="7"/>
        <v>5.7735026918951087E-3</v>
      </c>
      <c r="R19" s="41">
        <v>20.28</v>
      </c>
      <c r="S19" s="41">
        <v>20.25</v>
      </c>
      <c r="T19" s="41">
        <v>20.260000000000002</v>
      </c>
      <c r="U19" s="69">
        <f t="shared" si="0"/>
        <v>20.263333333333335</v>
      </c>
      <c r="V19" s="69">
        <f t="shared" si="1"/>
        <v>1.5275252316519916E-2</v>
      </c>
      <c r="W19" s="41">
        <v>10</v>
      </c>
      <c r="X19" s="41">
        <v>10.01</v>
      </c>
      <c r="Y19" s="41">
        <v>10.01</v>
      </c>
      <c r="Z19" s="69">
        <f t="shared" si="2"/>
        <v>10.006666666666666</v>
      </c>
      <c r="AA19" s="69">
        <f t="shared" si="3"/>
        <v>5.7735026918961348E-3</v>
      </c>
      <c r="AB19" s="1"/>
      <c r="AC19" s="1"/>
      <c r="AD19" s="1"/>
      <c r="AE19" s="1" t="e">
        <f t="shared" si="12"/>
        <v>#DIV/0!</v>
      </c>
      <c r="AF19" s="1" t="e">
        <f t="shared" si="13"/>
        <v>#DIV/0!</v>
      </c>
      <c r="AG19" s="41">
        <v>27.9</v>
      </c>
      <c r="AH19" s="41">
        <v>29.4</v>
      </c>
      <c r="AI19" s="41">
        <v>29.3</v>
      </c>
      <c r="AJ19" s="69">
        <f t="shared" si="8"/>
        <v>28.866666666666664</v>
      </c>
      <c r="AK19" s="69">
        <f t="shared" si="9"/>
        <v>0.83864970836060881</v>
      </c>
      <c r="AL19" s="54">
        <v>0.63</v>
      </c>
      <c r="AM19" s="54">
        <v>0.56999999999999995</v>
      </c>
      <c r="AN19" s="54">
        <v>0.56000000000000005</v>
      </c>
      <c r="AO19" s="15">
        <f t="shared" si="10"/>
        <v>0.58666666666666667</v>
      </c>
      <c r="AP19" s="74">
        <f t="shared" si="11"/>
        <v>3.785938897200182E-2</v>
      </c>
      <c r="AQ19" s="50">
        <v>45955</v>
      </c>
      <c r="AR19" s="41" t="s">
        <v>53</v>
      </c>
      <c r="AS19" s="55"/>
    </row>
    <row r="20" spans="6:45">
      <c r="F20" s="14" t="s">
        <v>51</v>
      </c>
      <c r="G20" s="45">
        <v>4</v>
      </c>
      <c r="H20" s="45" t="s">
        <v>10</v>
      </c>
      <c r="I20" s="45" t="s">
        <v>9</v>
      </c>
      <c r="J20" s="41">
        <v>1</v>
      </c>
      <c r="K20" s="1">
        <v>18</v>
      </c>
      <c r="L20" s="1" t="s">
        <v>57</v>
      </c>
      <c r="M20" s="41">
        <v>40.06</v>
      </c>
      <c r="N20" s="41">
        <v>40.06</v>
      </c>
      <c r="O20" s="41">
        <v>40.049999999999997</v>
      </c>
      <c r="P20" s="69">
        <f t="shared" si="6"/>
        <v>40.056666666666665</v>
      </c>
      <c r="Q20" s="69">
        <f t="shared" si="7"/>
        <v>5.7735026918992113E-3</v>
      </c>
      <c r="R20" s="41">
        <v>20.23</v>
      </c>
      <c r="S20" s="41">
        <v>20.22</v>
      </c>
      <c r="T20" s="41">
        <v>20.25</v>
      </c>
      <c r="U20" s="69">
        <f t="shared" si="0"/>
        <v>20.233333333333334</v>
      </c>
      <c r="V20" s="69">
        <f t="shared" si="1"/>
        <v>1.5275252316519916E-2</v>
      </c>
      <c r="W20" s="41">
        <v>9.99</v>
      </c>
      <c r="X20" s="41">
        <v>9.9700000000000006</v>
      </c>
      <c r="Y20" s="41">
        <v>9.98</v>
      </c>
      <c r="Z20" s="69">
        <f t="shared" si="2"/>
        <v>9.98</v>
      </c>
      <c r="AA20" s="69">
        <f t="shared" si="3"/>
        <v>9.9999999999997868E-3</v>
      </c>
      <c r="AB20" s="1"/>
      <c r="AC20" s="1"/>
      <c r="AD20" s="1"/>
      <c r="AE20" s="1" t="e">
        <f t="shared" si="12"/>
        <v>#DIV/0!</v>
      </c>
      <c r="AF20" s="1" t="e">
        <f t="shared" si="13"/>
        <v>#DIV/0!</v>
      </c>
      <c r="AG20" s="41">
        <v>27.9</v>
      </c>
      <c r="AH20" s="41">
        <v>29.4</v>
      </c>
      <c r="AI20" s="41">
        <v>29.3</v>
      </c>
      <c r="AJ20" s="69">
        <f t="shared" si="8"/>
        <v>28.866666666666664</v>
      </c>
      <c r="AK20" s="69">
        <f t="shared" si="9"/>
        <v>0.83864970836060881</v>
      </c>
      <c r="AL20" s="54">
        <v>0.63</v>
      </c>
      <c r="AM20" s="54">
        <v>0.56999999999999995</v>
      </c>
      <c r="AN20" s="54">
        <v>0.56000000000000005</v>
      </c>
      <c r="AO20" s="15">
        <f t="shared" si="10"/>
        <v>0.58666666666666667</v>
      </c>
      <c r="AP20" s="74">
        <f t="shared" si="11"/>
        <v>3.785938897200182E-2</v>
      </c>
      <c r="AQ20" s="50">
        <v>45955</v>
      </c>
      <c r="AR20" s="41" t="s">
        <v>53</v>
      </c>
      <c r="AS20" s="55"/>
    </row>
    <row r="21" spans="6:45">
      <c r="F21" s="14" t="s">
        <v>51</v>
      </c>
      <c r="G21" s="45">
        <v>4</v>
      </c>
      <c r="H21" s="45" t="s">
        <v>10</v>
      </c>
      <c r="I21" s="45" t="s">
        <v>9</v>
      </c>
      <c r="J21" s="41">
        <v>1</v>
      </c>
      <c r="K21" s="1">
        <v>19</v>
      </c>
      <c r="L21" s="1" t="s">
        <v>59</v>
      </c>
      <c r="M21" s="41">
        <v>40.119999999999997</v>
      </c>
      <c r="N21" s="41">
        <v>40.130000000000003</v>
      </c>
      <c r="O21" s="41">
        <v>40.11</v>
      </c>
      <c r="P21" s="69">
        <f t="shared" si="6"/>
        <v>40.119999999999997</v>
      </c>
      <c r="Q21" s="69">
        <f t="shared" si="7"/>
        <v>1.0000000000001563E-2</v>
      </c>
      <c r="R21" s="41">
        <v>20.23</v>
      </c>
      <c r="S21" s="41">
        <v>20.239999999999998</v>
      </c>
      <c r="T21" s="41">
        <v>20.190000000000001</v>
      </c>
      <c r="U21" s="69">
        <f t="shared" si="0"/>
        <v>20.22</v>
      </c>
      <c r="V21" s="69">
        <f t="shared" si="1"/>
        <v>2.6457513110644669E-2</v>
      </c>
      <c r="W21" s="41">
        <v>10</v>
      </c>
      <c r="X21" s="41">
        <v>9.9700000000000006</v>
      </c>
      <c r="Y21" s="41">
        <v>9.98</v>
      </c>
      <c r="Z21" s="69">
        <f t="shared" si="2"/>
        <v>9.9833333333333325</v>
      </c>
      <c r="AA21" s="69">
        <f t="shared" si="3"/>
        <v>1.527525231651914E-2</v>
      </c>
      <c r="AB21" s="1"/>
      <c r="AC21" s="1"/>
      <c r="AD21" s="1"/>
      <c r="AE21" s="1" t="e">
        <f t="shared" si="12"/>
        <v>#DIV/0!</v>
      </c>
      <c r="AF21" s="1" t="e">
        <f t="shared" si="13"/>
        <v>#DIV/0!</v>
      </c>
      <c r="AG21" s="41">
        <v>27.9</v>
      </c>
      <c r="AH21" s="41">
        <v>29.4</v>
      </c>
      <c r="AI21" s="41">
        <v>29.3</v>
      </c>
      <c r="AJ21" s="69">
        <f t="shared" si="8"/>
        <v>28.866666666666664</v>
      </c>
      <c r="AK21" s="69">
        <f t="shared" si="9"/>
        <v>0.83864970836060881</v>
      </c>
      <c r="AL21" s="54">
        <v>0.63</v>
      </c>
      <c r="AM21" s="54">
        <v>0.56999999999999995</v>
      </c>
      <c r="AN21" s="54">
        <v>0.56000000000000005</v>
      </c>
      <c r="AO21" s="15">
        <f t="shared" si="10"/>
        <v>0.58666666666666667</v>
      </c>
      <c r="AP21" s="74">
        <f t="shared" si="11"/>
        <v>3.785938897200182E-2</v>
      </c>
      <c r="AQ21" s="50">
        <v>45955</v>
      </c>
      <c r="AR21" s="41" t="s">
        <v>53</v>
      </c>
      <c r="AS21" s="55"/>
    </row>
    <row r="22" spans="6:45" ht="15.75" thickBot="1">
      <c r="F22" s="19" t="s">
        <v>51</v>
      </c>
      <c r="G22" s="46">
        <v>4</v>
      </c>
      <c r="H22" s="46" t="s">
        <v>10</v>
      </c>
      <c r="I22" s="46" t="s">
        <v>9</v>
      </c>
      <c r="J22" s="48">
        <v>1</v>
      </c>
      <c r="K22" s="22">
        <v>20</v>
      </c>
      <c r="L22" s="22" t="s">
        <v>60</v>
      </c>
      <c r="M22" s="48">
        <v>40.14</v>
      </c>
      <c r="N22" s="48">
        <v>40.14</v>
      </c>
      <c r="O22" s="48">
        <v>40.159999999999997</v>
      </c>
      <c r="P22" s="70">
        <f t="shared" si="6"/>
        <v>40.146666666666668</v>
      </c>
      <c r="Q22" s="70">
        <f t="shared" si="7"/>
        <v>1.1547005383790217E-2</v>
      </c>
      <c r="R22" s="48">
        <v>20.25</v>
      </c>
      <c r="S22" s="48">
        <v>20.25</v>
      </c>
      <c r="T22" s="48">
        <v>20.25</v>
      </c>
      <c r="U22" s="70">
        <f t="shared" si="0"/>
        <v>20.25</v>
      </c>
      <c r="V22" s="70">
        <f t="shared" si="1"/>
        <v>0</v>
      </c>
      <c r="W22" s="48">
        <v>9.98</v>
      </c>
      <c r="X22" s="48">
        <v>9.98</v>
      </c>
      <c r="Y22" s="48">
        <v>9.98</v>
      </c>
      <c r="Z22" s="70">
        <f t="shared" si="2"/>
        <v>9.98</v>
      </c>
      <c r="AA22" s="70">
        <f t="shared" si="3"/>
        <v>0</v>
      </c>
      <c r="AB22" s="22"/>
      <c r="AC22" s="22"/>
      <c r="AD22" s="22"/>
      <c r="AE22" s="22" t="e">
        <f t="shared" si="12"/>
        <v>#DIV/0!</v>
      </c>
      <c r="AF22" s="22" t="e">
        <f t="shared" si="13"/>
        <v>#DIV/0!</v>
      </c>
      <c r="AG22" s="48">
        <v>27.9</v>
      </c>
      <c r="AH22" s="48">
        <v>29.4</v>
      </c>
      <c r="AI22" s="48">
        <v>29.3</v>
      </c>
      <c r="AJ22" s="70">
        <f t="shared" si="8"/>
        <v>28.866666666666664</v>
      </c>
      <c r="AK22" s="70">
        <f t="shared" si="9"/>
        <v>0.83864970836060881</v>
      </c>
      <c r="AL22" s="56">
        <v>0.63</v>
      </c>
      <c r="AM22" s="56">
        <v>0.56999999999999995</v>
      </c>
      <c r="AN22" s="56">
        <v>0.56000000000000005</v>
      </c>
      <c r="AO22" s="24">
        <f t="shared" si="10"/>
        <v>0.58666666666666667</v>
      </c>
      <c r="AP22" s="75">
        <f t="shared" si="11"/>
        <v>3.785938897200182E-2</v>
      </c>
      <c r="AQ22" s="57">
        <v>45955</v>
      </c>
      <c r="AR22" s="48" t="s">
        <v>53</v>
      </c>
      <c r="AS22" s="58"/>
    </row>
    <row r="23" spans="6:45">
      <c r="F23" s="30" t="s">
        <v>51</v>
      </c>
      <c r="G23" s="44">
        <v>5</v>
      </c>
      <c r="H23" s="44" t="s">
        <v>8</v>
      </c>
      <c r="I23" s="44" t="s">
        <v>9</v>
      </c>
      <c r="J23" s="44">
        <v>2</v>
      </c>
      <c r="K23" s="31">
        <v>21</v>
      </c>
      <c r="L23" s="31" t="s">
        <v>52</v>
      </c>
      <c r="M23" s="47">
        <v>39.96</v>
      </c>
      <c r="N23" s="47">
        <v>40.07</v>
      </c>
      <c r="O23" s="47">
        <v>40.03</v>
      </c>
      <c r="P23" s="68">
        <f t="shared" si="6"/>
        <v>40.020000000000003</v>
      </c>
      <c r="Q23" s="68">
        <f t="shared" si="7"/>
        <v>5.5677643628299994E-2</v>
      </c>
      <c r="R23" s="47">
        <v>19.95</v>
      </c>
      <c r="S23" s="47">
        <v>19.940000000000001</v>
      </c>
      <c r="T23" s="47">
        <v>19.940000000000001</v>
      </c>
      <c r="U23" s="68">
        <f t="shared" si="0"/>
        <v>19.943333333333332</v>
      </c>
      <c r="V23" s="68">
        <f t="shared" si="1"/>
        <v>5.7735026918951087E-3</v>
      </c>
      <c r="W23" s="47">
        <v>10.039999999999999</v>
      </c>
      <c r="X23" s="47">
        <v>10.039999999999999</v>
      </c>
      <c r="Y23" s="47">
        <v>10.050000000000001</v>
      </c>
      <c r="Z23" s="68">
        <f t="shared" si="2"/>
        <v>10.043333333333333</v>
      </c>
      <c r="AA23" s="68">
        <f t="shared" si="3"/>
        <v>5.77350269189716E-3</v>
      </c>
      <c r="AB23" s="31"/>
      <c r="AC23" s="31"/>
      <c r="AD23" s="31"/>
      <c r="AE23" s="31" t="e">
        <f t="shared" si="12"/>
        <v>#DIV/0!</v>
      </c>
      <c r="AF23" s="31" t="e">
        <f t="shared" si="13"/>
        <v>#DIV/0!</v>
      </c>
      <c r="AG23" s="47">
        <v>26.8</v>
      </c>
      <c r="AH23" s="47">
        <v>29</v>
      </c>
      <c r="AI23" s="47">
        <v>29</v>
      </c>
      <c r="AJ23" s="68">
        <f t="shared" si="8"/>
        <v>28.266666666666666</v>
      </c>
      <c r="AK23" s="68">
        <f t="shared" si="9"/>
        <v>1.2701705922171762</v>
      </c>
      <c r="AL23" s="51">
        <v>0.65</v>
      </c>
      <c r="AM23" s="51">
        <v>0.57999999999999996</v>
      </c>
      <c r="AN23" s="51">
        <v>0.56999999999999995</v>
      </c>
      <c r="AO23" s="33">
        <f t="shared" si="10"/>
        <v>0.6</v>
      </c>
      <c r="AP23" s="73">
        <f t="shared" si="11"/>
        <v>4.3588989435406775E-2</v>
      </c>
      <c r="AQ23" s="52">
        <v>45955</v>
      </c>
      <c r="AR23" s="47" t="s">
        <v>53</v>
      </c>
      <c r="AS23" s="53"/>
    </row>
    <row r="24" spans="6:45">
      <c r="F24" s="14" t="s">
        <v>51</v>
      </c>
      <c r="G24" s="45">
        <v>5</v>
      </c>
      <c r="H24" s="45" t="s">
        <v>8</v>
      </c>
      <c r="I24" s="45" t="s">
        <v>9</v>
      </c>
      <c r="J24" s="45">
        <v>2</v>
      </c>
      <c r="K24" s="1">
        <v>22</v>
      </c>
      <c r="L24" s="1" t="s">
        <v>55</v>
      </c>
      <c r="M24" s="41">
        <v>39.99</v>
      </c>
      <c r="N24" s="41">
        <v>39.979999999999997</v>
      </c>
      <c r="O24" s="41">
        <v>39.99</v>
      </c>
      <c r="P24" s="69">
        <f t="shared" si="6"/>
        <v>39.986666666666672</v>
      </c>
      <c r="Q24" s="69">
        <f t="shared" si="7"/>
        <v>5.7735026918992113E-3</v>
      </c>
      <c r="R24" s="41">
        <v>19.920000000000002</v>
      </c>
      <c r="S24" s="41">
        <v>20.02</v>
      </c>
      <c r="T24" s="41">
        <v>19.940000000000001</v>
      </c>
      <c r="U24" s="69">
        <f t="shared" si="0"/>
        <v>19.959999999999997</v>
      </c>
      <c r="V24" s="69">
        <f t="shared" si="1"/>
        <v>5.2915026221290677E-2</v>
      </c>
      <c r="W24" s="41">
        <v>10.08</v>
      </c>
      <c r="X24" s="41">
        <v>10.09</v>
      </c>
      <c r="Y24" s="41">
        <v>10.07</v>
      </c>
      <c r="Z24" s="69">
        <f t="shared" si="2"/>
        <v>10.08</v>
      </c>
      <c r="AA24" s="69">
        <f t="shared" si="3"/>
        <v>9.9999999999997868E-3</v>
      </c>
      <c r="AB24" s="1"/>
      <c r="AC24" s="1"/>
      <c r="AD24" s="1"/>
      <c r="AE24" s="1" t="e">
        <f t="shared" si="12"/>
        <v>#DIV/0!</v>
      </c>
      <c r="AF24" s="1" t="e">
        <f t="shared" si="13"/>
        <v>#DIV/0!</v>
      </c>
      <c r="AG24" s="41">
        <v>26.8</v>
      </c>
      <c r="AH24" s="41">
        <v>29</v>
      </c>
      <c r="AI24" s="41">
        <v>29</v>
      </c>
      <c r="AJ24" s="69">
        <f t="shared" si="8"/>
        <v>28.266666666666666</v>
      </c>
      <c r="AK24" s="69">
        <f t="shared" si="9"/>
        <v>1.2701705922171762</v>
      </c>
      <c r="AL24" s="54">
        <v>0.65</v>
      </c>
      <c r="AM24" s="54">
        <v>0.57999999999999996</v>
      </c>
      <c r="AN24" s="54">
        <v>0.56999999999999995</v>
      </c>
      <c r="AO24" s="15">
        <f t="shared" si="10"/>
        <v>0.6</v>
      </c>
      <c r="AP24" s="74">
        <f t="shared" si="11"/>
        <v>4.3588989435406775E-2</v>
      </c>
      <c r="AQ24" s="50">
        <v>45955</v>
      </c>
      <c r="AR24" s="41" t="s">
        <v>53</v>
      </c>
      <c r="AS24" s="55"/>
    </row>
    <row r="25" spans="6:45">
      <c r="F25" s="14" t="s">
        <v>51</v>
      </c>
      <c r="G25" s="45">
        <v>5</v>
      </c>
      <c r="H25" s="45" t="s">
        <v>8</v>
      </c>
      <c r="I25" s="45" t="s">
        <v>9</v>
      </c>
      <c r="J25" s="45">
        <v>2</v>
      </c>
      <c r="K25" s="1">
        <v>23</v>
      </c>
      <c r="L25" s="1" t="s">
        <v>57</v>
      </c>
      <c r="M25" s="41">
        <v>39.97</v>
      </c>
      <c r="N25" s="41">
        <v>40</v>
      </c>
      <c r="O25" s="41">
        <v>39.97</v>
      </c>
      <c r="P25" s="69">
        <f t="shared" ref="P25:P45" si="14">AVERAGE(M25:O25)</f>
        <v>39.979999999999997</v>
      </c>
      <c r="Q25" s="69">
        <f t="shared" ref="Q25:Q45" si="15">_xlfn.STDEV.S(M25:O25)</f>
        <v>1.7320508075689432E-2</v>
      </c>
      <c r="R25" s="41">
        <v>19.93</v>
      </c>
      <c r="S25" s="41">
        <v>19.89</v>
      </c>
      <c r="T25" s="41">
        <v>19.91</v>
      </c>
      <c r="U25" s="69">
        <f t="shared" si="0"/>
        <v>19.91</v>
      </c>
      <c r="V25" s="69">
        <f t="shared" si="1"/>
        <v>1.9999999999999574E-2</v>
      </c>
      <c r="W25" s="41">
        <v>10.119999999999999</v>
      </c>
      <c r="X25" s="41">
        <v>10.1</v>
      </c>
      <c r="Y25" s="41">
        <v>10.08</v>
      </c>
      <c r="Z25" s="69">
        <f t="shared" si="2"/>
        <v>10.1</v>
      </c>
      <c r="AA25" s="69">
        <f t="shared" si="3"/>
        <v>1.9999999999999574E-2</v>
      </c>
      <c r="AB25" s="1"/>
      <c r="AC25" s="1"/>
      <c r="AD25" s="1"/>
      <c r="AE25" s="1" t="e">
        <f t="shared" si="12"/>
        <v>#DIV/0!</v>
      </c>
      <c r="AF25" s="1" t="e">
        <f t="shared" si="13"/>
        <v>#DIV/0!</v>
      </c>
      <c r="AG25" s="41">
        <v>26.8</v>
      </c>
      <c r="AH25" s="41">
        <v>29</v>
      </c>
      <c r="AI25" s="41">
        <v>29</v>
      </c>
      <c r="AJ25" s="69">
        <f t="shared" ref="AJ25:AJ45" si="16">AVERAGE(AG25:AI25)</f>
        <v>28.266666666666666</v>
      </c>
      <c r="AK25" s="69">
        <f t="shared" ref="AK25:AK45" si="17">_xlfn.STDEV.S(AG25:AI25)</f>
        <v>1.2701705922171762</v>
      </c>
      <c r="AL25" s="54">
        <v>0.65</v>
      </c>
      <c r="AM25" s="54">
        <v>0.57999999999999996</v>
      </c>
      <c r="AN25" s="54">
        <v>0.56999999999999995</v>
      </c>
      <c r="AO25" s="15">
        <f t="shared" ref="AO25:AO45" si="18">AVERAGE(AL25:AN25)</f>
        <v>0.6</v>
      </c>
      <c r="AP25" s="74">
        <f t="shared" ref="AP25:AP45" si="19">_xlfn.STDEV.S(AL25:AN25)</f>
        <v>4.3588989435406775E-2</v>
      </c>
      <c r="AQ25" s="50">
        <v>45955</v>
      </c>
      <c r="AR25" s="41" t="s">
        <v>53</v>
      </c>
      <c r="AS25" s="55"/>
    </row>
    <row r="26" spans="6:45">
      <c r="F26" s="14" t="s">
        <v>51</v>
      </c>
      <c r="G26" s="45">
        <v>5</v>
      </c>
      <c r="H26" s="45" t="s">
        <v>8</v>
      </c>
      <c r="I26" s="45" t="s">
        <v>9</v>
      </c>
      <c r="J26" s="45">
        <v>2</v>
      </c>
      <c r="K26" s="1">
        <v>24</v>
      </c>
      <c r="L26" s="1" t="s">
        <v>59</v>
      </c>
      <c r="M26" s="41">
        <v>40.01</v>
      </c>
      <c r="N26" s="41">
        <v>39.979999999999997</v>
      </c>
      <c r="O26" s="41">
        <v>40.06</v>
      </c>
      <c r="P26" s="69">
        <f t="shared" si="14"/>
        <v>40.016666666666666</v>
      </c>
      <c r="Q26" s="69">
        <f t="shared" si="15"/>
        <v>4.0414518843276605E-2</v>
      </c>
      <c r="R26" s="41">
        <v>20.02</v>
      </c>
      <c r="S26" s="41">
        <v>19.98</v>
      </c>
      <c r="T26" s="41">
        <v>19.97</v>
      </c>
      <c r="U26" s="69">
        <f t="shared" si="0"/>
        <v>19.989999999999998</v>
      </c>
      <c r="V26" s="69">
        <f t="shared" si="1"/>
        <v>2.6457513110646015E-2</v>
      </c>
      <c r="W26" s="41">
        <v>10.1</v>
      </c>
      <c r="X26" s="41">
        <v>10.08</v>
      </c>
      <c r="Y26" s="41">
        <v>10.08</v>
      </c>
      <c r="Z26" s="69">
        <f t="shared" si="2"/>
        <v>10.086666666666666</v>
      </c>
      <c r="AA26" s="69">
        <f t="shared" si="3"/>
        <v>1.154700538379227E-2</v>
      </c>
      <c r="AB26" s="1"/>
      <c r="AC26" s="1"/>
      <c r="AD26" s="1"/>
      <c r="AE26" s="1" t="e">
        <f t="shared" si="12"/>
        <v>#DIV/0!</v>
      </c>
      <c r="AF26" s="1" t="e">
        <f t="shared" si="13"/>
        <v>#DIV/0!</v>
      </c>
      <c r="AG26" s="41">
        <v>26.8</v>
      </c>
      <c r="AH26" s="41">
        <v>29</v>
      </c>
      <c r="AI26" s="41">
        <v>29</v>
      </c>
      <c r="AJ26" s="69">
        <f t="shared" si="16"/>
        <v>28.266666666666666</v>
      </c>
      <c r="AK26" s="69">
        <f t="shared" si="17"/>
        <v>1.2701705922171762</v>
      </c>
      <c r="AL26" s="54">
        <v>0.65</v>
      </c>
      <c r="AM26" s="54">
        <v>0.57999999999999996</v>
      </c>
      <c r="AN26" s="54">
        <v>0.56999999999999995</v>
      </c>
      <c r="AO26" s="15">
        <f t="shared" si="18"/>
        <v>0.6</v>
      </c>
      <c r="AP26" s="74">
        <f t="shared" si="19"/>
        <v>4.3588989435406775E-2</v>
      </c>
      <c r="AQ26" s="50">
        <v>45955</v>
      </c>
      <c r="AR26" s="41" t="s">
        <v>53</v>
      </c>
      <c r="AS26" s="55"/>
    </row>
    <row r="27" spans="6:45" ht="15.75" thickBot="1">
      <c r="F27" s="19" t="s">
        <v>51</v>
      </c>
      <c r="G27" s="46">
        <v>5</v>
      </c>
      <c r="H27" s="46" t="s">
        <v>8</v>
      </c>
      <c r="I27" s="46" t="s">
        <v>9</v>
      </c>
      <c r="J27" s="46">
        <v>2</v>
      </c>
      <c r="K27" s="22">
        <v>25</v>
      </c>
      <c r="L27" s="22" t="s">
        <v>60</v>
      </c>
      <c r="M27" s="48">
        <v>39.93</v>
      </c>
      <c r="N27" s="48">
        <v>39.909999999999997</v>
      </c>
      <c r="O27" s="48">
        <v>39.950000000000003</v>
      </c>
      <c r="P27" s="70">
        <f t="shared" si="14"/>
        <v>39.93</v>
      </c>
      <c r="Q27" s="70">
        <f t="shared" si="15"/>
        <v>2.0000000000003126E-2</v>
      </c>
      <c r="R27" s="48">
        <v>19.96</v>
      </c>
      <c r="S27" s="48">
        <v>19.97</v>
      </c>
      <c r="T27" s="48">
        <v>19.93</v>
      </c>
      <c r="U27" s="70">
        <f t="shared" si="0"/>
        <v>19.953333333333333</v>
      </c>
      <c r="V27" s="70">
        <f t="shared" si="1"/>
        <v>2.0816659994661167E-2</v>
      </c>
      <c r="W27" s="48">
        <v>10.1</v>
      </c>
      <c r="X27" s="48">
        <v>10.11</v>
      </c>
      <c r="Y27" s="48">
        <v>10.09</v>
      </c>
      <c r="Z27" s="70">
        <f t="shared" si="2"/>
        <v>10.1</v>
      </c>
      <c r="AA27" s="70">
        <f t="shared" si="3"/>
        <v>9.9999999999997868E-3</v>
      </c>
      <c r="AB27" s="22"/>
      <c r="AC27" s="22"/>
      <c r="AD27" s="22"/>
      <c r="AE27" s="22" t="e">
        <f t="shared" si="12"/>
        <v>#DIV/0!</v>
      </c>
      <c r="AF27" s="22" t="e">
        <f t="shared" si="13"/>
        <v>#DIV/0!</v>
      </c>
      <c r="AG27" s="48">
        <v>26.8</v>
      </c>
      <c r="AH27" s="48">
        <v>29</v>
      </c>
      <c r="AI27" s="48">
        <v>29</v>
      </c>
      <c r="AJ27" s="70">
        <f t="shared" si="16"/>
        <v>28.266666666666666</v>
      </c>
      <c r="AK27" s="70">
        <f t="shared" si="17"/>
        <v>1.2701705922171762</v>
      </c>
      <c r="AL27" s="56">
        <v>0.65</v>
      </c>
      <c r="AM27" s="56">
        <v>0.57999999999999996</v>
      </c>
      <c r="AN27" s="56">
        <v>0.56999999999999995</v>
      </c>
      <c r="AO27" s="24">
        <f t="shared" si="18"/>
        <v>0.6</v>
      </c>
      <c r="AP27" s="75">
        <f t="shared" si="19"/>
        <v>4.3588989435406775E-2</v>
      </c>
      <c r="AQ27" s="57">
        <v>45955</v>
      </c>
      <c r="AR27" s="48" t="s">
        <v>53</v>
      </c>
      <c r="AS27" s="58"/>
    </row>
    <row r="28" spans="6:45">
      <c r="F28" s="14" t="s">
        <v>51</v>
      </c>
      <c r="G28" s="78">
        <v>6</v>
      </c>
      <c r="H28" s="45" t="s">
        <v>8</v>
      </c>
      <c r="I28" s="45" t="s">
        <v>11</v>
      </c>
      <c r="J28" s="41">
        <v>1</v>
      </c>
      <c r="K28" s="1">
        <v>26</v>
      </c>
      <c r="L28" s="1" t="s">
        <v>52</v>
      </c>
      <c r="M28" s="41">
        <v>20.079999999999998</v>
      </c>
      <c r="N28" s="41">
        <v>20.100000000000001</v>
      </c>
      <c r="O28" s="41">
        <v>20.079999999999998</v>
      </c>
      <c r="P28" s="69">
        <f t="shared" si="14"/>
        <v>20.086666666666666</v>
      </c>
      <c r="Q28" s="69">
        <f t="shared" si="15"/>
        <v>1.154700538379432E-2</v>
      </c>
      <c r="R28" s="47">
        <v>10.02</v>
      </c>
      <c r="S28" s="47">
        <v>10.02</v>
      </c>
      <c r="T28" s="47">
        <v>10.050000000000001</v>
      </c>
      <c r="U28" s="68">
        <f t="shared" si="0"/>
        <v>10.029999999999999</v>
      </c>
      <c r="V28" s="68">
        <f t="shared" si="1"/>
        <v>1.7320508075689429E-2</v>
      </c>
      <c r="W28" s="47">
        <v>5.12</v>
      </c>
      <c r="X28" s="47">
        <v>5.14</v>
      </c>
      <c r="Y28" s="47">
        <v>5.13</v>
      </c>
      <c r="Z28" s="68">
        <f t="shared" si="2"/>
        <v>5.13</v>
      </c>
      <c r="AA28" s="68">
        <f t="shared" si="3"/>
        <v>9.9999999999997868E-3</v>
      </c>
      <c r="AB28" s="31"/>
      <c r="AC28" s="31"/>
      <c r="AD28" s="31"/>
      <c r="AE28" s="31" t="e">
        <f t="shared" si="12"/>
        <v>#DIV/0!</v>
      </c>
      <c r="AF28" s="31" t="e">
        <f t="shared" si="13"/>
        <v>#DIV/0!</v>
      </c>
      <c r="AG28" s="41">
        <v>22.8</v>
      </c>
      <c r="AH28" s="41">
        <v>26.8</v>
      </c>
      <c r="AI28" s="41">
        <v>28.6</v>
      </c>
      <c r="AJ28" s="69">
        <f>AVERAGE(AG28:AI28)</f>
        <v>26.066666666666666</v>
      </c>
      <c r="AK28" s="69">
        <f>_xlfn.STDEV.S(AG28:AI28)</f>
        <v>2.9687258770949758</v>
      </c>
      <c r="AL28" s="54">
        <v>0.84</v>
      </c>
      <c r="AM28" s="54">
        <v>0.73</v>
      </c>
      <c r="AN28" s="54">
        <v>0.64</v>
      </c>
      <c r="AO28" s="15">
        <f>AVERAGE(AL28:AN28)</f>
        <v>0.73666666666666669</v>
      </c>
      <c r="AP28" s="74">
        <f>_xlfn.STDEV.S(AL28:AN28)</f>
        <v>0.10016652800877704</v>
      </c>
      <c r="AQ28" s="50">
        <v>45956</v>
      </c>
      <c r="AR28" s="41" t="s">
        <v>53</v>
      </c>
      <c r="AS28" s="55"/>
    </row>
    <row r="29" spans="6:45">
      <c r="F29" s="14" t="s">
        <v>51</v>
      </c>
      <c r="G29" s="78">
        <v>6</v>
      </c>
      <c r="H29" s="45" t="s">
        <v>8</v>
      </c>
      <c r="I29" s="45" t="s">
        <v>11</v>
      </c>
      <c r="J29" s="41">
        <v>1</v>
      </c>
      <c r="K29" s="1">
        <v>27</v>
      </c>
      <c r="L29" s="1" t="s">
        <v>55</v>
      </c>
      <c r="M29" s="41">
        <v>20.04</v>
      </c>
      <c r="N29" s="41">
        <v>20</v>
      </c>
      <c r="O29" s="41">
        <v>19.989999999999998</v>
      </c>
      <c r="P29" s="69">
        <f t="shared" si="14"/>
        <v>20.010000000000002</v>
      </c>
      <c r="Q29" s="69">
        <f t="shared" si="15"/>
        <v>2.6457513110646015E-2</v>
      </c>
      <c r="R29" s="41">
        <v>10</v>
      </c>
      <c r="S29" s="41">
        <v>9.99</v>
      </c>
      <c r="T29" s="41">
        <v>9.99</v>
      </c>
      <c r="U29" s="69">
        <f t="shared" si="0"/>
        <v>9.9933333333333341</v>
      </c>
      <c r="V29" s="69">
        <f t="shared" si="1"/>
        <v>5.7735026918961348E-3</v>
      </c>
      <c r="W29" s="41">
        <v>5.12</v>
      </c>
      <c r="X29" s="41">
        <v>5.12</v>
      </c>
      <c r="Y29" s="41">
        <v>5.1100000000000003</v>
      </c>
      <c r="Z29" s="69">
        <f t="shared" si="2"/>
        <v>5.1166666666666671</v>
      </c>
      <c r="AA29" s="69">
        <f t="shared" si="3"/>
        <v>5.7735026918961348E-3</v>
      </c>
      <c r="AB29" s="1"/>
      <c r="AC29" s="1"/>
      <c r="AD29" s="1"/>
      <c r="AE29" s="1" t="e">
        <f t="shared" si="12"/>
        <v>#DIV/0!</v>
      </c>
      <c r="AF29" s="1" t="e">
        <f t="shared" si="13"/>
        <v>#DIV/0!</v>
      </c>
      <c r="AG29" s="41">
        <v>22.8</v>
      </c>
      <c r="AH29" s="41">
        <v>26.8</v>
      </c>
      <c r="AI29" s="41">
        <v>28.6</v>
      </c>
      <c r="AJ29" s="69">
        <f t="shared" si="16"/>
        <v>26.066666666666666</v>
      </c>
      <c r="AK29" s="69">
        <f t="shared" si="17"/>
        <v>2.9687258770949758</v>
      </c>
      <c r="AL29" s="54">
        <v>0.84</v>
      </c>
      <c r="AM29" s="54">
        <v>0.73</v>
      </c>
      <c r="AN29" s="54">
        <v>0.64</v>
      </c>
      <c r="AO29" s="15">
        <f t="shared" si="18"/>
        <v>0.73666666666666669</v>
      </c>
      <c r="AP29" s="74">
        <f t="shared" si="19"/>
        <v>0.10016652800877704</v>
      </c>
      <c r="AQ29" s="50">
        <v>45956</v>
      </c>
      <c r="AR29" s="41" t="s">
        <v>53</v>
      </c>
      <c r="AS29" s="55"/>
    </row>
    <row r="30" spans="6:45">
      <c r="F30" s="14" t="s">
        <v>51</v>
      </c>
      <c r="G30" s="78">
        <v>6</v>
      </c>
      <c r="H30" s="45" t="s">
        <v>8</v>
      </c>
      <c r="I30" s="45" t="s">
        <v>11</v>
      </c>
      <c r="J30" s="41">
        <v>1</v>
      </c>
      <c r="K30" s="1">
        <v>28</v>
      </c>
      <c r="L30" s="1" t="s">
        <v>57</v>
      </c>
      <c r="M30" s="41">
        <v>20.100000000000001</v>
      </c>
      <c r="N30" s="41">
        <v>20.079999999999998</v>
      </c>
      <c r="O30" s="41">
        <v>20.07</v>
      </c>
      <c r="P30" s="69">
        <f t="shared" si="14"/>
        <v>20.083333333333332</v>
      </c>
      <c r="Q30" s="69">
        <f t="shared" si="15"/>
        <v>1.5275252316520304E-2</v>
      </c>
      <c r="R30" s="41">
        <v>10.06</v>
      </c>
      <c r="S30" s="41">
        <v>10.06</v>
      </c>
      <c r="T30" s="41">
        <v>10.050000000000001</v>
      </c>
      <c r="U30" s="69">
        <f t="shared" si="0"/>
        <v>10.056666666666667</v>
      </c>
      <c r="V30" s="69">
        <f t="shared" si="1"/>
        <v>5.7735026918961348E-3</v>
      </c>
      <c r="W30" s="41">
        <v>5.17</v>
      </c>
      <c r="X30" s="41">
        <v>5.16</v>
      </c>
      <c r="Y30" s="41">
        <v>5.16</v>
      </c>
      <c r="Z30" s="69">
        <f t="shared" si="2"/>
        <v>5.1633333333333331</v>
      </c>
      <c r="AA30" s="69">
        <f t="shared" si="3"/>
        <v>5.7735026918961348E-3</v>
      </c>
      <c r="AB30" s="1"/>
      <c r="AC30" s="1"/>
      <c r="AD30" s="1"/>
      <c r="AE30" s="1" t="e">
        <f t="shared" si="12"/>
        <v>#DIV/0!</v>
      </c>
      <c r="AF30" s="1" t="e">
        <f t="shared" si="13"/>
        <v>#DIV/0!</v>
      </c>
      <c r="AG30" s="41">
        <v>22.8</v>
      </c>
      <c r="AH30" s="41">
        <v>26.8</v>
      </c>
      <c r="AI30" s="41">
        <v>28.6</v>
      </c>
      <c r="AJ30" s="69">
        <f t="shared" si="16"/>
        <v>26.066666666666666</v>
      </c>
      <c r="AK30" s="69">
        <f t="shared" si="17"/>
        <v>2.9687258770949758</v>
      </c>
      <c r="AL30" s="54">
        <v>0.84</v>
      </c>
      <c r="AM30" s="54">
        <v>0.73</v>
      </c>
      <c r="AN30" s="54">
        <v>0.64</v>
      </c>
      <c r="AO30" s="15">
        <f t="shared" si="18"/>
        <v>0.73666666666666669</v>
      </c>
      <c r="AP30" s="74">
        <f t="shared" si="19"/>
        <v>0.10016652800877704</v>
      </c>
      <c r="AQ30" s="50">
        <v>45956</v>
      </c>
      <c r="AR30" s="41" t="s">
        <v>53</v>
      </c>
      <c r="AS30" s="55"/>
    </row>
    <row r="31" spans="6:45">
      <c r="F31" s="14" t="s">
        <v>51</v>
      </c>
      <c r="G31" s="78">
        <v>6</v>
      </c>
      <c r="H31" s="45" t="s">
        <v>8</v>
      </c>
      <c r="I31" s="45" t="s">
        <v>11</v>
      </c>
      <c r="J31" s="41">
        <v>1</v>
      </c>
      <c r="K31" s="1">
        <v>29</v>
      </c>
      <c r="L31" s="1" t="s">
        <v>59</v>
      </c>
      <c r="M31" s="41">
        <v>20.13</v>
      </c>
      <c r="N31" s="41">
        <v>20.14</v>
      </c>
      <c r="O31" s="41">
        <v>20.09</v>
      </c>
      <c r="P31" s="69">
        <f t="shared" si="14"/>
        <v>20.12</v>
      </c>
      <c r="Q31" s="69">
        <f t="shared" si="15"/>
        <v>2.6457513110646015E-2</v>
      </c>
      <c r="R31" s="41">
        <v>10.29</v>
      </c>
      <c r="S31" s="41">
        <v>10.27</v>
      </c>
      <c r="T31" s="41">
        <v>10.27</v>
      </c>
      <c r="U31" s="69">
        <f t="shared" si="0"/>
        <v>10.276666666666666</v>
      </c>
      <c r="V31" s="69">
        <f t="shared" si="1"/>
        <v>1.154700538379227E-2</v>
      </c>
      <c r="W31" s="41">
        <v>5.15</v>
      </c>
      <c r="X31" s="41">
        <v>5.16</v>
      </c>
      <c r="Y31" s="41">
        <v>5.15</v>
      </c>
      <c r="Z31" s="69">
        <f t="shared" si="2"/>
        <v>5.1533333333333333</v>
      </c>
      <c r="AA31" s="69">
        <f t="shared" si="3"/>
        <v>5.7735026918961348E-3</v>
      </c>
      <c r="AB31" s="1"/>
      <c r="AC31" s="1"/>
      <c r="AD31" s="1"/>
      <c r="AE31" s="1" t="e">
        <f t="shared" si="12"/>
        <v>#DIV/0!</v>
      </c>
      <c r="AF31" s="1" t="e">
        <f t="shared" si="13"/>
        <v>#DIV/0!</v>
      </c>
      <c r="AG31" s="41">
        <v>22.8</v>
      </c>
      <c r="AH31" s="41">
        <v>26.8</v>
      </c>
      <c r="AI31" s="41">
        <v>28.6</v>
      </c>
      <c r="AJ31" s="69">
        <f t="shared" si="16"/>
        <v>26.066666666666666</v>
      </c>
      <c r="AK31" s="69">
        <f t="shared" si="17"/>
        <v>2.9687258770949758</v>
      </c>
      <c r="AL31" s="54">
        <v>0.84</v>
      </c>
      <c r="AM31" s="54">
        <v>0.73</v>
      </c>
      <c r="AN31" s="54">
        <v>0.64</v>
      </c>
      <c r="AO31" s="15">
        <f t="shared" si="18"/>
        <v>0.73666666666666669</v>
      </c>
      <c r="AP31" s="74">
        <f t="shared" si="19"/>
        <v>0.10016652800877704</v>
      </c>
      <c r="AQ31" s="50">
        <v>45956</v>
      </c>
      <c r="AR31" s="41" t="s">
        <v>53</v>
      </c>
      <c r="AS31" s="55"/>
    </row>
    <row r="32" spans="6:45" ht="15.75" thickBot="1">
      <c r="F32" s="14" t="s">
        <v>51</v>
      </c>
      <c r="G32" s="78">
        <v>6</v>
      </c>
      <c r="H32" s="45" t="s">
        <v>8</v>
      </c>
      <c r="I32" s="45" t="s">
        <v>11</v>
      </c>
      <c r="J32" s="41">
        <v>1</v>
      </c>
      <c r="K32" s="1">
        <v>30</v>
      </c>
      <c r="L32" s="1" t="s">
        <v>60</v>
      </c>
      <c r="M32" s="41">
        <v>20</v>
      </c>
      <c r="N32" s="41">
        <v>20.04</v>
      </c>
      <c r="O32" s="41">
        <v>20</v>
      </c>
      <c r="P32" s="69">
        <f t="shared" si="14"/>
        <v>20.013333333333332</v>
      </c>
      <c r="Q32" s="69">
        <f t="shared" si="15"/>
        <v>2.3094010767584539E-2</v>
      </c>
      <c r="R32" s="48">
        <v>10.06</v>
      </c>
      <c r="S32" s="48">
        <v>10.06</v>
      </c>
      <c r="T32" s="48">
        <v>10.09</v>
      </c>
      <c r="U32" s="70">
        <f t="shared" si="0"/>
        <v>10.07</v>
      </c>
      <c r="V32" s="70">
        <f t="shared" si="1"/>
        <v>1.7320508075688405E-2</v>
      </c>
      <c r="W32" s="48">
        <v>5.14</v>
      </c>
      <c r="X32" s="48">
        <v>5.13</v>
      </c>
      <c r="Y32" s="48">
        <v>5.14</v>
      </c>
      <c r="Z32" s="70">
        <f t="shared" si="2"/>
        <v>5.1366666666666667</v>
      </c>
      <c r="AA32" s="70">
        <f t="shared" si="3"/>
        <v>5.7735026918961348E-3</v>
      </c>
      <c r="AB32" s="22"/>
      <c r="AC32" s="22"/>
      <c r="AD32" s="22"/>
      <c r="AE32" s="22" t="e">
        <f t="shared" si="12"/>
        <v>#DIV/0!</v>
      </c>
      <c r="AF32" s="22" t="e">
        <f t="shared" si="13"/>
        <v>#DIV/0!</v>
      </c>
      <c r="AG32" s="41">
        <v>22.8</v>
      </c>
      <c r="AH32" s="41">
        <v>26.8</v>
      </c>
      <c r="AI32" s="41">
        <v>28.6</v>
      </c>
      <c r="AJ32" s="69">
        <f t="shared" si="16"/>
        <v>26.066666666666666</v>
      </c>
      <c r="AK32" s="69">
        <f t="shared" si="17"/>
        <v>2.9687258770949758</v>
      </c>
      <c r="AL32" s="54">
        <v>0.84</v>
      </c>
      <c r="AM32" s="54">
        <v>0.73</v>
      </c>
      <c r="AN32" s="54">
        <v>0.64</v>
      </c>
      <c r="AO32" s="15">
        <f t="shared" si="18"/>
        <v>0.73666666666666669</v>
      </c>
      <c r="AP32" s="74">
        <f t="shared" si="19"/>
        <v>0.10016652800877704</v>
      </c>
      <c r="AQ32" s="50">
        <v>45956</v>
      </c>
      <c r="AR32" s="41" t="s">
        <v>53</v>
      </c>
      <c r="AS32" s="55"/>
    </row>
    <row r="33" spans="6:45">
      <c r="F33" s="30" t="s">
        <v>51</v>
      </c>
      <c r="G33" s="47">
        <v>7</v>
      </c>
      <c r="H33" s="47" t="s">
        <v>12</v>
      </c>
      <c r="I33" s="47" t="s">
        <v>11</v>
      </c>
      <c r="J33" s="47">
        <v>1</v>
      </c>
      <c r="K33" s="31">
        <v>31</v>
      </c>
      <c r="L33" s="31" t="s">
        <v>52</v>
      </c>
      <c r="M33" s="47">
        <v>20.18</v>
      </c>
      <c r="N33" s="47">
        <v>20.170000000000002</v>
      </c>
      <c r="O33" s="47">
        <v>20.170000000000002</v>
      </c>
      <c r="P33" s="68">
        <f t="shared" si="14"/>
        <v>20.173333333333336</v>
      </c>
      <c r="Q33" s="68">
        <f t="shared" si="15"/>
        <v>5.7735026918951087E-3</v>
      </c>
      <c r="R33" s="47">
        <v>10.210000000000001</v>
      </c>
      <c r="S33" s="47">
        <v>10.210000000000001</v>
      </c>
      <c r="T33" s="47">
        <v>10.210000000000001</v>
      </c>
      <c r="U33" s="68">
        <f t="shared" si="0"/>
        <v>10.210000000000001</v>
      </c>
      <c r="V33" s="68">
        <f t="shared" si="1"/>
        <v>0</v>
      </c>
      <c r="W33" s="47">
        <v>5.16</v>
      </c>
      <c r="X33" s="47">
        <v>5.17</v>
      </c>
      <c r="Y33" s="47">
        <v>5.16</v>
      </c>
      <c r="Z33" s="68">
        <f t="shared" si="2"/>
        <v>5.1633333333333331</v>
      </c>
      <c r="AA33" s="68">
        <f t="shared" si="3"/>
        <v>5.7735026918961348E-3</v>
      </c>
      <c r="AB33" s="31"/>
      <c r="AC33" s="31"/>
      <c r="AD33" s="31"/>
      <c r="AE33" s="31" t="e">
        <f t="shared" si="12"/>
        <v>#DIV/0!</v>
      </c>
      <c r="AF33" s="31" t="e">
        <f t="shared" si="13"/>
        <v>#DIV/0!</v>
      </c>
      <c r="AG33" s="47">
        <v>26.9</v>
      </c>
      <c r="AH33" s="47">
        <v>27</v>
      </c>
      <c r="AI33" s="47">
        <v>28.1</v>
      </c>
      <c r="AJ33" s="68">
        <f t="shared" si="16"/>
        <v>27.333333333333332</v>
      </c>
      <c r="AK33" s="68">
        <f t="shared" si="17"/>
        <v>0.66583281184794052</v>
      </c>
      <c r="AL33" s="51">
        <v>0.6</v>
      </c>
      <c r="AM33" s="51">
        <v>0.6</v>
      </c>
      <c r="AN33" s="51">
        <v>0.55000000000000004</v>
      </c>
      <c r="AO33" s="33">
        <f t="shared" si="18"/>
        <v>0.58333333333333337</v>
      </c>
      <c r="AP33" s="73">
        <f t="shared" si="19"/>
        <v>2.8867513459481249E-2</v>
      </c>
      <c r="AQ33" s="52">
        <v>45955</v>
      </c>
      <c r="AR33" s="47" t="s">
        <v>53</v>
      </c>
      <c r="AS33" s="53"/>
    </row>
    <row r="34" spans="6:45">
      <c r="F34" s="14" t="s">
        <v>51</v>
      </c>
      <c r="G34" s="41">
        <v>7</v>
      </c>
      <c r="H34" s="41" t="s">
        <v>12</v>
      </c>
      <c r="I34" s="41" t="s">
        <v>11</v>
      </c>
      <c r="J34" s="41">
        <v>1</v>
      </c>
      <c r="K34" s="1">
        <v>32</v>
      </c>
      <c r="L34" s="1" t="s">
        <v>55</v>
      </c>
      <c r="M34" s="41">
        <v>20.190000000000001</v>
      </c>
      <c r="N34" s="41">
        <v>20.2</v>
      </c>
      <c r="O34" s="41">
        <v>20.190000000000001</v>
      </c>
      <c r="P34" s="69">
        <f t="shared" si="14"/>
        <v>20.193333333333332</v>
      </c>
      <c r="Q34" s="69">
        <f t="shared" si="15"/>
        <v>5.7735026918951087E-3</v>
      </c>
      <c r="R34" s="41">
        <v>10.27</v>
      </c>
      <c r="S34" s="41">
        <v>10.26</v>
      </c>
      <c r="T34" s="41">
        <v>10.24</v>
      </c>
      <c r="U34" s="69">
        <f t="shared" si="0"/>
        <v>10.256666666666668</v>
      </c>
      <c r="V34" s="69">
        <f t="shared" si="1"/>
        <v>1.5275252316519142E-2</v>
      </c>
      <c r="W34" s="41">
        <v>5.17</v>
      </c>
      <c r="X34" s="41">
        <v>5.17</v>
      </c>
      <c r="Y34" s="41">
        <v>5.17</v>
      </c>
      <c r="Z34" s="69">
        <f t="shared" si="2"/>
        <v>5.17</v>
      </c>
      <c r="AA34" s="69">
        <f t="shared" si="3"/>
        <v>0</v>
      </c>
      <c r="AB34" s="1"/>
      <c r="AC34" s="1"/>
      <c r="AD34" s="1"/>
      <c r="AE34" s="1" t="e">
        <f t="shared" si="12"/>
        <v>#DIV/0!</v>
      </c>
      <c r="AF34" s="1" t="e">
        <f t="shared" si="13"/>
        <v>#DIV/0!</v>
      </c>
      <c r="AG34" s="41">
        <v>26.9</v>
      </c>
      <c r="AH34" s="41">
        <v>27</v>
      </c>
      <c r="AI34" s="41">
        <v>28.1</v>
      </c>
      <c r="AJ34" s="69">
        <f t="shared" si="16"/>
        <v>27.333333333333332</v>
      </c>
      <c r="AK34" s="69">
        <f t="shared" si="17"/>
        <v>0.66583281184794052</v>
      </c>
      <c r="AL34" s="54">
        <v>0.6</v>
      </c>
      <c r="AM34" s="54">
        <v>0.6</v>
      </c>
      <c r="AN34" s="54">
        <v>0.55000000000000004</v>
      </c>
      <c r="AO34" s="15">
        <f t="shared" si="18"/>
        <v>0.58333333333333337</v>
      </c>
      <c r="AP34" s="74">
        <f t="shared" si="19"/>
        <v>2.8867513459481249E-2</v>
      </c>
      <c r="AQ34" s="50">
        <v>45955</v>
      </c>
      <c r="AR34" s="41" t="s">
        <v>53</v>
      </c>
      <c r="AS34" s="55"/>
    </row>
    <row r="35" spans="6:45">
      <c r="F35" s="14" t="s">
        <v>51</v>
      </c>
      <c r="G35" s="41">
        <v>7</v>
      </c>
      <c r="H35" s="41" t="s">
        <v>12</v>
      </c>
      <c r="I35" s="41" t="s">
        <v>11</v>
      </c>
      <c r="J35" s="41">
        <v>1</v>
      </c>
      <c r="K35" s="1">
        <v>33</v>
      </c>
      <c r="L35" s="1" t="s">
        <v>57</v>
      </c>
      <c r="M35" s="41">
        <v>20.23</v>
      </c>
      <c r="N35" s="41">
        <v>20.27</v>
      </c>
      <c r="O35" s="41">
        <v>20.29</v>
      </c>
      <c r="P35" s="69">
        <f t="shared" si="14"/>
        <v>20.263333333333332</v>
      </c>
      <c r="Q35" s="69">
        <f t="shared" si="15"/>
        <v>3.0550504633038281E-2</v>
      </c>
      <c r="R35" s="41">
        <v>10.18</v>
      </c>
      <c r="S35" s="41">
        <v>10.18</v>
      </c>
      <c r="T35" s="41">
        <v>10.17</v>
      </c>
      <c r="U35" s="69">
        <f t="shared" ref="U35:U62" si="20">AVERAGE(R35:T35)</f>
        <v>10.176666666666668</v>
      </c>
      <c r="V35" s="69">
        <f t="shared" ref="V35:V62" si="21">_xlfn.STDEV.S(R35:T35)</f>
        <v>5.7735026918961348E-3</v>
      </c>
      <c r="W35" s="41">
        <v>5.18</v>
      </c>
      <c r="X35" s="41">
        <v>5.18</v>
      </c>
      <c r="Y35" s="41">
        <v>5.18</v>
      </c>
      <c r="Z35" s="69">
        <f t="shared" ref="Z35:Z62" si="22">AVERAGE(W35:Y35)</f>
        <v>5.18</v>
      </c>
      <c r="AA35" s="69">
        <f t="shared" ref="AA35:AA62" si="23">_xlfn.STDEV.S(W35:Y35)</f>
        <v>0</v>
      </c>
      <c r="AB35" s="1"/>
      <c r="AC35" s="1"/>
      <c r="AD35" s="1"/>
      <c r="AE35" s="1" t="e">
        <f t="shared" si="12"/>
        <v>#DIV/0!</v>
      </c>
      <c r="AF35" s="1" t="e">
        <f t="shared" si="13"/>
        <v>#DIV/0!</v>
      </c>
      <c r="AG35" s="41">
        <v>26.9</v>
      </c>
      <c r="AH35" s="41">
        <v>27</v>
      </c>
      <c r="AI35" s="41">
        <v>28.1</v>
      </c>
      <c r="AJ35" s="69">
        <f t="shared" si="16"/>
        <v>27.333333333333332</v>
      </c>
      <c r="AK35" s="69">
        <f t="shared" si="17"/>
        <v>0.66583281184794052</v>
      </c>
      <c r="AL35" s="54">
        <v>0.6</v>
      </c>
      <c r="AM35" s="54">
        <v>0.6</v>
      </c>
      <c r="AN35" s="54">
        <v>0.55000000000000004</v>
      </c>
      <c r="AO35" s="15">
        <f t="shared" si="18"/>
        <v>0.58333333333333337</v>
      </c>
      <c r="AP35" s="74">
        <f t="shared" si="19"/>
        <v>2.8867513459481249E-2</v>
      </c>
      <c r="AQ35" s="50">
        <v>45955</v>
      </c>
      <c r="AR35" s="41" t="s">
        <v>53</v>
      </c>
      <c r="AS35" s="55"/>
    </row>
    <row r="36" spans="6:45">
      <c r="F36" s="14" t="s">
        <v>51</v>
      </c>
      <c r="G36" s="41">
        <v>7</v>
      </c>
      <c r="H36" s="41" t="s">
        <v>12</v>
      </c>
      <c r="I36" s="41" t="s">
        <v>11</v>
      </c>
      <c r="J36" s="41">
        <v>1</v>
      </c>
      <c r="K36" s="1">
        <v>34</v>
      </c>
      <c r="L36" s="1" t="s">
        <v>59</v>
      </c>
      <c r="M36" s="41">
        <v>20.170000000000002</v>
      </c>
      <c r="N36" s="41">
        <v>20.18</v>
      </c>
      <c r="O36" s="41">
        <v>20.18</v>
      </c>
      <c r="P36" s="69">
        <f t="shared" si="14"/>
        <v>20.176666666666666</v>
      </c>
      <c r="Q36" s="69">
        <f t="shared" si="15"/>
        <v>5.7735026918951087E-3</v>
      </c>
      <c r="R36" s="41">
        <v>10.19</v>
      </c>
      <c r="S36" s="41">
        <v>10.19</v>
      </c>
      <c r="T36" s="41">
        <v>10.19</v>
      </c>
      <c r="U36" s="69">
        <f t="shared" si="20"/>
        <v>10.19</v>
      </c>
      <c r="V36" s="69">
        <f t="shared" si="21"/>
        <v>0</v>
      </c>
      <c r="W36" s="41">
        <v>5.17</v>
      </c>
      <c r="X36" s="41">
        <v>5.17</v>
      </c>
      <c r="Y36" s="41">
        <v>5.16</v>
      </c>
      <c r="Z36" s="69">
        <f t="shared" si="22"/>
        <v>5.166666666666667</v>
      </c>
      <c r="AA36" s="69">
        <f t="shared" si="23"/>
        <v>5.7735026918961348E-3</v>
      </c>
      <c r="AB36" s="1"/>
      <c r="AC36" s="1"/>
      <c r="AD36" s="1"/>
      <c r="AE36" s="1" t="e">
        <f t="shared" si="12"/>
        <v>#DIV/0!</v>
      </c>
      <c r="AF36" s="1" t="e">
        <f t="shared" si="13"/>
        <v>#DIV/0!</v>
      </c>
      <c r="AG36" s="41">
        <v>26.9</v>
      </c>
      <c r="AH36" s="41">
        <v>27</v>
      </c>
      <c r="AI36" s="41">
        <v>28.1</v>
      </c>
      <c r="AJ36" s="69">
        <f t="shared" si="16"/>
        <v>27.333333333333332</v>
      </c>
      <c r="AK36" s="69">
        <f t="shared" si="17"/>
        <v>0.66583281184794052</v>
      </c>
      <c r="AL36" s="54">
        <v>0.6</v>
      </c>
      <c r="AM36" s="54">
        <v>0.6</v>
      </c>
      <c r="AN36" s="54">
        <v>0.55000000000000004</v>
      </c>
      <c r="AO36" s="15">
        <f t="shared" si="18"/>
        <v>0.58333333333333337</v>
      </c>
      <c r="AP36" s="74">
        <f t="shared" si="19"/>
        <v>2.8867513459481249E-2</v>
      </c>
      <c r="AQ36" s="50">
        <v>45955</v>
      </c>
      <c r="AR36" s="41" t="s">
        <v>53</v>
      </c>
      <c r="AS36" s="55"/>
    </row>
    <row r="37" spans="6:45" ht="15.75" thickBot="1">
      <c r="F37" s="14" t="s">
        <v>51</v>
      </c>
      <c r="G37" s="41">
        <v>7</v>
      </c>
      <c r="H37" s="41" t="s">
        <v>12</v>
      </c>
      <c r="I37" s="41" t="s">
        <v>11</v>
      </c>
      <c r="J37" s="41">
        <v>1</v>
      </c>
      <c r="K37" s="1">
        <v>35</v>
      </c>
      <c r="L37" s="1" t="s">
        <v>60</v>
      </c>
      <c r="M37" s="41">
        <v>20.22</v>
      </c>
      <c r="N37" s="41">
        <v>20.23</v>
      </c>
      <c r="O37" s="41">
        <v>20.23</v>
      </c>
      <c r="P37" s="69">
        <f t="shared" si="14"/>
        <v>20.22666666666667</v>
      </c>
      <c r="Q37" s="69">
        <f t="shared" si="15"/>
        <v>5.77350269189716E-3</v>
      </c>
      <c r="R37" s="48">
        <v>10.18</v>
      </c>
      <c r="S37" s="48">
        <v>10.210000000000001</v>
      </c>
      <c r="T37" s="48">
        <v>10.18</v>
      </c>
      <c r="U37" s="70">
        <f t="shared" si="20"/>
        <v>10.19</v>
      </c>
      <c r="V37" s="70">
        <f t="shared" si="21"/>
        <v>1.7320508075689429E-2</v>
      </c>
      <c r="W37" s="48">
        <v>5.17</v>
      </c>
      <c r="X37" s="48">
        <v>5.17</v>
      </c>
      <c r="Y37" s="48">
        <v>5.17</v>
      </c>
      <c r="Z37" s="70">
        <f t="shared" si="22"/>
        <v>5.17</v>
      </c>
      <c r="AA37" s="70">
        <f t="shared" si="23"/>
        <v>0</v>
      </c>
      <c r="AB37" s="22"/>
      <c r="AC37" s="22"/>
      <c r="AD37" s="22"/>
      <c r="AE37" s="22" t="e">
        <f t="shared" si="12"/>
        <v>#DIV/0!</v>
      </c>
      <c r="AF37" s="22" t="e">
        <f t="shared" si="13"/>
        <v>#DIV/0!</v>
      </c>
      <c r="AG37" s="41">
        <v>26.9</v>
      </c>
      <c r="AH37" s="41">
        <v>27</v>
      </c>
      <c r="AI37" s="41">
        <v>28.1</v>
      </c>
      <c r="AJ37" s="69">
        <f t="shared" si="16"/>
        <v>27.333333333333332</v>
      </c>
      <c r="AK37" s="69">
        <f t="shared" si="17"/>
        <v>0.66583281184794052</v>
      </c>
      <c r="AL37" s="54">
        <v>0.6</v>
      </c>
      <c r="AM37" s="54">
        <v>0.6</v>
      </c>
      <c r="AN37" s="54">
        <v>0.55000000000000004</v>
      </c>
      <c r="AO37" s="15">
        <f t="shared" si="18"/>
        <v>0.58333333333333337</v>
      </c>
      <c r="AP37" s="74">
        <f t="shared" si="19"/>
        <v>2.8867513459481249E-2</v>
      </c>
      <c r="AQ37" s="50">
        <v>45955</v>
      </c>
      <c r="AR37" s="41" t="s">
        <v>53</v>
      </c>
      <c r="AS37" s="55"/>
    </row>
    <row r="38" spans="6:45">
      <c r="F38" s="30" t="s">
        <v>51</v>
      </c>
      <c r="G38" s="44">
        <v>8</v>
      </c>
      <c r="H38" s="44" t="s">
        <v>10</v>
      </c>
      <c r="I38" s="44" t="s">
        <v>11</v>
      </c>
      <c r="J38" s="44">
        <v>2</v>
      </c>
      <c r="K38" s="31">
        <v>36</v>
      </c>
      <c r="L38" s="31" t="s">
        <v>52</v>
      </c>
      <c r="M38" s="47">
        <v>20.079999999999998</v>
      </c>
      <c r="N38" s="47">
        <v>20.12</v>
      </c>
      <c r="O38" s="47">
        <v>20.09</v>
      </c>
      <c r="P38" s="68">
        <f t="shared" si="14"/>
        <v>20.096666666666668</v>
      </c>
      <c r="Q38" s="68">
        <f t="shared" si="15"/>
        <v>2.081665999466259E-2</v>
      </c>
      <c r="R38" s="47">
        <v>10.26</v>
      </c>
      <c r="S38" s="47">
        <v>10.29</v>
      </c>
      <c r="T38" s="47">
        <v>10.27</v>
      </c>
      <c r="U38" s="68">
        <f t="shared" si="20"/>
        <v>10.273333333333332</v>
      </c>
      <c r="V38" s="68">
        <f t="shared" si="21"/>
        <v>1.527525231651914E-2</v>
      </c>
      <c r="W38" s="47">
        <v>5.18</v>
      </c>
      <c r="X38" s="47">
        <v>5.18</v>
      </c>
      <c r="Y38" s="47">
        <v>5.19</v>
      </c>
      <c r="Z38" s="68">
        <f t="shared" si="22"/>
        <v>5.1833333333333336</v>
      </c>
      <c r="AA38" s="68">
        <f t="shared" si="23"/>
        <v>5.7735026918966474E-3</v>
      </c>
      <c r="AB38" s="31"/>
      <c r="AC38" s="31"/>
      <c r="AD38" s="31"/>
      <c r="AE38" s="31" t="e">
        <f t="shared" ref="AE38:AE58" si="24">AVERAGE(AB38:AD38)</f>
        <v>#DIV/0!</v>
      </c>
      <c r="AF38" s="31" t="e">
        <f t="shared" ref="AF38:AF58" si="25">_xlfn.STDEV.S(AB38:AD38)</f>
        <v>#DIV/0!</v>
      </c>
      <c r="AG38" s="47">
        <v>22.8</v>
      </c>
      <c r="AH38" s="47">
        <v>24.4</v>
      </c>
      <c r="AI38" s="47">
        <v>26</v>
      </c>
      <c r="AJ38" s="68">
        <f t="shared" si="16"/>
        <v>24.400000000000002</v>
      </c>
      <c r="AK38" s="68">
        <f t="shared" si="17"/>
        <v>1.5999999999999996</v>
      </c>
      <c r="AL38" s="51">
        <v>0.82</v>
      </c>
      <c r="AM38" s="51">
        <v>0.77</v>
      </c>
      <c r="AN38" s="51">
        <v>0.62</v>
      </c>
      <c r="AO38" s="33">
        <f t="shared" si="18"/>
        <v>0.73666666666666669</v>
      </c>
      <c r="AP38" s="73">
        <f t="shared" si="19"/>
        <v>0.10408329997330625</v>
      </c>
      <c r="AQ38" s="52">
        <v>45956</v>
      </c>
      <c r="AR38" s="47" t="s">
        <v>53</v>
      </c>
      <c r="AS38" s="53"/>
    </row>
    <row r="39" spans="6:45">
      <c r="F39" s="14" t="s">
        <v>51</v>
      </c>
      <c r="G39" s="45">
        <v>8</v>
      </c>
      <c r="H39" s="45" t="s">
        <v>10</v>
      </c>
      <c r="I39" s="45" t="s">
        <v>11</v>
      </c>
      <c r="J39" s="45">
        <v>2</v>
      </c>
      <c r="K39" s="1">
        <v>37</v>
      </c>
      <c r="L39" s="1" t="s">
        <v>55</v>
      </c>
      <c r="M39" s="41">
        <v>20.09</v>
      </c>
      <c r="N39" s="41">
        <v>20.09</v>
      </c>
      <c r="O39" s="41">
        <v>20.100000000000001</v>
      </c>
      <c r="P39" s="69">
        <f t="shared" si="14"/>
        <v>20.093333333333334</v>
      </c>
      <c r="Q39" s="69">
        <f t="shared" si="15"/>
        <v>5.77350269189716E-3</v>
      </c>
      <c r="R39" s="41">
        <v>10.26</v>
      </c>
      <c r="S39" s="41">
        <v>10.27</v>
      </c>
      <c r="T39" s="41">
        <v>10.26</v>
      </c>
      <c r="U39" s="69">
        <f t="shared" si="20"/>
        <v>10.263333333333334</v>
      </c>
      <c r="V39" s="69">
        <f t="shared" si="21"/>
        <v>5.7735026918961348E-3</v>
      </c>
      <c r="W39" s="41">
        <v>5.2</v>
      </c>
      <c r="X39" s="41">
        <v>5.18</v>
      </c>
      <c r="Y39" s="41">
        <v>5.19</v>
      </c>
      <c r="Z39" s="69">
        <f t="shared" si="22"/>
        <v>5.19</v>
      </c>
      <c r="AA39" s="69">
        <f t="shared" si="23"/>
        <v>1.0000000000000231E-2</v>
      </c>
      <c r="AB39" s="1"/>
      <c r="AC39" s="1"/>
      <c r="AD39" s="1"/>
      <c r="AE39" s="1" t="e">
        <f t="shared" si="24"/>
        <v>#DIV/0!</v>
      </c>
      <c r="AF39" s="1" t="e">
        <f t="shared" si="25"/>
        <v>#DIV/0!</v>
      </c>
      <c r="AG39" s="41">
        <v>22.8</v>
      </c>
      <c r="AH39" s="41">
        <v>24.4</v>
      </c>
      <c r="AI39" s="41">
        <v>26</v>
      </c>
      <c r="AJ39" s="69">
        <f t="shared" si="16"/>
        <v>24.400000000000002</v>
      </c>
      <c r="AK39" s="69">
        <f t="shared" si="17"/>
        <v>1.5999999999999996</v>
      </c>
      <c r="AL39" s="54">
        <v>0.82</v>
      </c>
      <c r="AM39" s="54">
        <v>0.77</v>
      </c>
      <c r="AN39" s="54">
        <v>0.62</v>
      </c>
      <c r="AO39" s="15">
        <f t="shared" si="18"/>
        <v>0.73666666666666669</v>
      </c>
      <c r="AP39" s="74">
        <f t="shared" si="19"/>
        <v>0.10408329997330625</v>
      </c>
      <c r="AQ39" s="50">
        <v>45956</v>
      </c>
      <c r="AR39" s="41" t="s">
        <v>53</v>
      </c>
      <c r="AS39" s="55"/>
    </row>
    <row r="40" spans="6:45">
      <c r="F40" s="14" t="s">
        <v>51</v>
      </c>
      <c r="G40" s="45">
        <v>8</v>
      </c>
      <c r="H40" s="45" t="s">
        <v>10</v>
      </c>
      <c r="I40" s="45" t="s">
        <v>11</v>
      </c>
      <c r="J40" s="45">
        <v>2</v>
      </c>
      <c r="K40" s="1">
        <v>38</v>
      </c>
      <c r="L40" s="1" t="s">
        <v>57</v>
      </c>
      <c r="M40" s="41">
        <v>20.16</v>
      </c>
      <c r="N40" s="41">
        <v>20.14</v>
      </c>
      <c r="O40" s="41">
        <v>20.16</v>
      </c>
      <c r="P40" s="69">
        <f t="shared" si="14"/>
        <v>20.153333333333332</v>
      </c>
      <c r="Q40" s="69">
        <f t="shared" si="15"/>
        <v>1.154700538379227E-2</v>
      </c>
      <c r="R40" s="41">
        <v>10.27</v>
      </c>
      <c r="S40" s="41">
        <v>10.29</v>
      </c>
      <c r="T40" s="41">
        <v>10.28</v>
      </c>
      <c r="U40" s="69">
        <f t="shared" si="20"/>
        <v>10.28</v>
      </c>
      <c r="V40" s="69">
        <f t="shared" si="21"/>
        <v>9.9999999999997868E-3</v>
      </c>
      <c r="W40" s="41">
        <v>5.17</v>
      </c>
      <c r="X40" s="41">
        <v>5.17</v>
      </c>
      <c r="Y40" s="41">
        <v>5.18</v>
      </c>
      <c r="Z40" s="69">
        <f t="shared" si="22"/>
        <v>5.1733333333333329</v>
      </c>
      <c r="AA40" s="69">
        <f t="shared" si="23"/>
        <v>5.7735026918961348E-3</v>
      </c>
      <c r="AB40" s="1"/>
      <c r="AC40" s="1"/>
      <c r="AD40" s="1"/>
      <c r="AE40" s="1" t="e">
        <f t="shared" si="24"/>
        <v>#DIV/0!</v>
      </c>
      <c r="AF40" s="1" t="e">
        <f t="shared" si="25"/>
        <v>#DIV/0!</v>
      </c>
      <c r="AG40" s="41">
        <v>22.8</v>
      </c>
      <c r="AH40" s="41">
        <v>24.4</v>
      </c>
      <c r="AI40" s="41">
        <v>26</v>
      </c>
      <c r="AJ40" s="69">
        <f t="shared" si="16"/>
        <v>24.400000000000002</v>
      </c>
      <c r="AK40" s="69">
        <f t="shared" si="17"/>
        <v>1.5999999999999996</v>
      </c>
      <c r="AL40" s="54">
        <v>0.82</v>
      </c>
      <c r="AM40" s="54">
        <v>0.77</v>
      </c>
      <c r="AN40" s="54">
        <v>0.62</v>
      </c>
      <c r="AO40" s="15">
        <f t="shared" si="18"/>
        <v>0.73666666666666669</v>
      </c>
      <c r="AP40" s="74">
        <f t="shared" si="19"/>
        <v>0.10408329997330625</v>
      </c>
      <c r="AQ40" s="50">
        <v>45956</v>
      </c>
      <c r="AR40" s="41" t="s">
        <v>53</v>
      </c>
      <c r="AS40" s="55"/>
    </row>
    <row r="41" spans="6:45">
      <c r="F41" s="14" t="s">
        <v>51</v>
      </c>
      <c r="G41" s="45">
        <v>8</v>
      </c>
      <c r="H41" s="45" t="s">
        <v>10</v>
      </c>
      <c r="I41" s="45" t="s">
        <v>11</v>
      </c>
      <c r="J41" s="45">
        <v>2</v>
      </c>
      <c r="K41" s="1">
        <v>39</v>
      </c>
      <c r="L41" s="1" t="s">
        <v>59</v>
      </c>
      <c r="M41" s="41">
        <v>20.21</v>
      </c>
      <c r="N41" s="41">
        <v>20.28</v>
      </c>
      <c r="O41" s="41">
        <v>20.21</v>
      </c>
      <c r="P41" s="69">
        <f t="shared" si="14"/>
        <v>20.233333333333334</v>
      </c>
      <c r="Q41" s="69">
        <f t="shared" si="15"/>
        <v>4.0414518843273968E-2</v>
      </c>
      <c r="R41" s="41">
        <v>10.29</v>
      </c>
      <c r="S41" s="41">
        <v>10.28</v>
      </c>
      <c r="T41" s="41">
        <v>10.31</v>
      </c>
      <c r="U41" s="69">
        <f t="shared" si="20"/>
        <v>10.293333333333335</v>
      </c>
      <c r="V41" s="69">
        <f t="shared" si="21"/>
        <v>1.527525231652011E-2</v>
      </c>
      <c r="W41" s="41">
        <v>5.19</v>
      </c>
      <c r="X41" s="41">
        <v>5.2</v>
      </c>
      <c r="Y41" s="41">
        <v>5.19</v>
      </c>
      <c r="Z41" s="69">
        <f t="shared" si="22"/>
        <v>5.1933333333333342</v>
      </c>
      <c r="AA41" s="69">
        <f t="shared" si="23"/>
        <v>5.7735026918961348E-3</v>
      </c>
      <c r="AB41" s="1"/>
      <c r="AC41" s="1"/>
      <c r="AD41" s="1"/>
      <c r="AE41" s="1" t="e">
        <f t="shared" si="24"/>
        <v>#DIV/0!</v>
      </c>
      <c r="AF41" s="1" t="e">
        <f t="shared" si="25"/>
        <v>#DIV/0!</v>
      </c>
      <c r="AG41" s="41">
        <v>22.8</v>
      </c>
      <c r="AH41" s="41">
        <v>24.4</v>
      </c>
      <c r="AI41" s="41">
        <v>26</v>
      </c>
      <c r="AJ41" s="69">
        <f t="shared" si="16"/>
        <v>24.400000000000002</v>
      </c>
      <c r="AK41" s="69">
        <f t="shared" si="17"/>
        <v>1.5999999999999996</v>
      </c>
      <c r="AL41" s="54">
        <v>0.82</v>
      </c>
      <c r="AM41" s="54">
        <v>0.77</v>
      </c>
      <c r="AN41" s="54">
        <v>0.62</v>
      </c>
      <c r="AO41" s="15">
        <f t="shared" si="18"/>
        <v>0.73666666666666669</v>
      </c>
      <c r="AP41" s="74">
        <f t="shared" si="19"/>
        <v>0.10408329997330625</v>
      </c>
      <c r="AQ41" s="50">
        <v>45956</v>
      </c>
      <c r="AR41" s="41" t="s">
        <v>53</v>
      </c>
      <c r="AS41" s="55"/>
    </row>
    <row r="42" spans="6:45" ht="15.75" thickBot="1">
      <c r="F42" s="14" t="s">
        <v>51</v>
      </c>
      <c r="G42" s="45">
        <v>8</v>
      </c>
      <c r="H42" s="45" t="s">
        <v>10</v>
      </c>
      <c r="I42" s="45" t="s">
        <v>11</v>
      </c>
      <c r="J42" s="45">
        <v>2</v>
      </c>
      <c r="K42" s="1">
        <v>40</v>
      </c>
      <c r="L42" s="1" t="s">
        <v>60</v>
      </c>
      <c r="M42" s="41">
        <v>20.14</v>
      </c>
      <c r="N42" s="41">
        <v>20.16</v>
      </c>
      <c r="O42" s="41">
        <v>20.22</v>
      </c>
      <c r="P42" s="69">
        <f t="shared" si="14"/>
        <v>20.173333333333332</v>
      </c>
      <c r="Q42" s="69">
        <f t="shared" si="15"/>
        <v>4.1633319989321765E-2</v>
      </c>
      <c r="R42" s="48">
        <v>10.27</v>
      </c>
      <c r="S42" s="48">
        <v>10.29</v>
      </c>
      <c r="T42" s="48">
        <v>10.3</v>
      </c>
      <c r="U42" s="70">
        <f t="shared" si="20"/>
        <v>10.286666666666667</v>
      </c>
      <c r="V42" s="70">
        <f t="shared" si="21"/>
        <v>1.5275252316519917E-2</v>
      </c>
      <c r="W42" s="48">
        <v>5.19</v>
      </c>
      <c r="X42" s="48">
        <v>5.18</v>
      </c>
      <c r="Y42" s="48">
        <v>5.18</v>
      </c>
      <c r="Z42" s="70">
        <f t="shared" si="22"/>
        <v>5.1833333333333336</v>
      </c>
      <c r="AA42" s="70">
        <f t="shared" si="23"/>
        <v>5.7735026918966474E-3</v>
      </c>
      <c r="AB42" s="22"/>
      <c r="AC42" s="22"/>
      <c r="AD42" s="22"/>
      <c r="AE42" s="22" t="e">
        <f t="shared" si="24"/>
        <v>#DIV/0!</v>
      </c>
      <c r="AF42" s="22" t="e">
        <f t="shared" si="25"/>
        <v>#DIV/0!</v>
      </c>
      <c r="AG42" s="41">
        <v>22.8</v>
      </c>
      <c r="AH42" s="41">
        <v>24.4</v>
      </c>
      <c r="AI42" s="41">
        <v>26</v>
      </c>
      <c r="AJ42" s="69">
        <f t="shared" si="16"/>
        <v>24.400000000000002</v>
      </c>
      <c r="AK42" s="69">
        <f t="shared" si="17"/>
        <v>1.5999999999999996</v>
      </c>
      <c r="AL42" s="54">
        <v>0.82</v>
      </c>
      <c r="AM42" s="54">
        <v>0.77</v>
      </c>
      <c r="AN42" s="54">
        <v>0.62</v>
      </c>
      <c r="AO42" s="15">
        <f t="shared" si="18"/>
        <v>0.73666666666666669</v>
      </c>
      <c r="AP42" s="74">
        <f t="shared" si="19"/>
        <v>0.10408329997330625</v>
      </c>
      <c r="AQ42" s="50">
        <v>45956</v>
      </c>
      <c r="AR42" s="41" t="s">
        <v>53</v>
      </c>
      <c r="AS42" s="55"/>
    </row>
    <row r="43" spans="6:45">
      <c r="F43" s="30" t="s">
        <v>51</v>
      </c>
      <c r="G43" s="44">
        <v>9</v>
      </c>
      <c r="H43" s="44" t="s">
        <v>12</v>
      </c>
      <c r="I43" s="44" t="s">
        <v>9</v>
      </c>
      <c r="J43" s="44">
        <v>2</v>
      </c>
      <c r="K43" s="31">
        <v>41</v>
      </c>
      <c r="L43" s="31" t="s">
        <v>52</v>
      </c>
      <c r="M43" s="47">
        <v>40.08</v>
      </c>
      <c r="N43" s="47">
        <v>40.07</v>
      </c>
      <c r="O43" s="47">
        <v>40.08</v>
      </c>
      <c r="P43" s="68">
        <f t="shared" si="14"/>
        <v>40.076666666666668</v>
      </c>
      <c r="Q43" s="68">
        <f t="shared" si="15"/>
        <v>5.7735026918951087E-3</v>
      </c>
      <c r="R43" s="47">
        <v>20.16</v>
      </c>
      <c r="S43" s="47">
        <v>20.16</v>
      </c>
      <c r="T43" s="47">
        <v>20.170000000000002</v>
      </c>
      <c r="U43" s="68">
        <f t="shared" si="20"/>
        <v>20.163333333333334</v>
      </c>
      <c r="V43" s="68">
        <f t="shared" si="21"/>
        <v>5.77350269189716E-3</v>
      </c>
      <c r="W43" s="47">
        <v>10</v>
      </c>
      <c r="X43" s="47">
        <v>10.01</v>
      </c>
      <c r="Y43" s="47">
        <v>9.98</v>
      </c>
      <c r="Z43" s="68">
        <f t="shared" si="22"/>
        <v>9.9966666666666661</v>
      </c>
      <c r="AA43" s="68">
        <f t="shared" si="23"/>
        <v>1.527525231651914E-2</v>
      </c>
      <c r="AB43" s="31"/>
      <c r="AC43" s="31"/>
      <c r="AD43" s="31"/>
      <c r="AE43" s="31" t="e">
        <f t="shared" si="24"/>
        <v>#DIV/0!</v>
      </c>
      <c r="AF43" s="31" t="e">
        <f t="shared" si="25"/>
        <v>#DIV/0!</v>
      </c>
      <c r="AG43" s="47">
        <v>26</v>
      </c>
      <c r="AH43" s="47">
        <v>28.7</v>
      </c>
      <c r="AI43" s="47">
        <v>29.4</v>
      </c>
      <c r="AJ43" s="68">
        <f t="shared" si="16"/>
        <v>28.033333333333331</v>
      </c>
      <c r="AK43" s="68">
        <f t="shared" si="17"/>
        <v>1.7953644012660304</v>
      </c>
      <c r="AL43" s="51">
        <v>0.7</v>
      </c>
      <c r="AM43" s="51">
        <v>0.56999999999999995</v>
      </c>
      <c r="AN43" s="51">
        <v>0.56000000000000005</v>
      </c>
      <c r="AO43" s="33">
        <f t="shared" si="18"/>
        <v>0.61</v>
      </c>
      <c r="AP43" s="73">
        <f t="shared" si="19"/>
        <v>7.8102496759066511E-2</v>
      </c>
      <c r="AQ43" s="52">
        <v>45956</v>
      </c>
      <c r="AR43" s="47" t="s">
        <v>53</v>
      </c>
      <c r="AS43" s="53"/>
    </row>
    <row r="44" spans="6:45">
      <c r="F44" s="14" t="s">
        <v>51</v>
      </c>
      <c r="G44" s="45">
        <v>9</v>
      </c>
      <c r="H44" s="45" t="s">
        <v>12</v>
      </c>
      <c r="I44" s="45" t="s">
        <v>9</v>
      </c>
      <c r="J44" s="45">
        <v>2</v>
      </c>
      <c r="K44" s="1">
        <v>42</v>
      </c>
      <c r="L44" s="1" t="s">
        <v>55</v>
      </c>
      <c r="M44" s="41">
        <v>40.159999999999997</v>
      </c>
      <c r="N44" s="41">
        <v>40.11</v>
      </c>
      <c r="O44" s="41">
        <v>40.15</v>
      </c>
      <c r="P44" s="69">
        <f t="shared" si="14"/>
        <v>40.139999999999993</v>
      </c>
      <c r="Q44" s="69">
        <f t="shared" si="15"/>
        <v>2.6457513110644672E-2</v>
      </c>
      <c r="R44" s="41">
        <v>20.16</v>
      </c>
      <c r="S44" s="41">
        <v>20.14</v>
      </c>
      <c r="T44" s="41">
        <v>20.190000000000001</v>
      </c>
      <c r="U44" s="69">
        <f t="shared" si="20"/>
        <v>20.16333333333333</v>
      </c>
      <c r="V44" s="69">
        <f t="shared" si="21"/>
        <v>2.5166114784236235E-2</v>
      </c>
      <c r="W44" s="41">
        <v>10.01</v>
      </c>
      <c r="X44" s="41">
        <v>10</v>
      </c>
      <c r="Y44" s="41">
        <v>10</v>
      </c>
      <c r="Z44" s="69">
        <f t="shared" si="22"/>
        <v>10.003333333333332</v>
      </c>
      <c r="AA44" s="69">
        <f t="shared" si="23"/>
        <v>5.7735026918961348E-3</v>
      </c>
      <c r="AB44" s="1"/>
      <c r="AC44" s="1"/>
      <c r="AD44" s="1"/>
      <c r="AE44" s="1" t="e">
        <f t="shared" si="24"/>
        <v>#DIV/0!</v>
      </c>
      <c r="AF44" s="1" t="e">
        <f t="shared" si="25"/>
        <v>#DIV/0!</v>
      </c>
      <c r="AG44" s="41">
        <v>26</v>
      </c>
      <c r="AH44" s="41">
        <v>28.7</v>
      </c>
      <c r="AI44" s="41">
        <v>29.4</v>
      </c>
      <c r="AJ44" s="69">
        <f t="shared" si="16"/>
        <v>28.033333333333331</v>
      </c>
      <c r="AK44" s="69">
        <f t="shared" si="17"/>
        <v>1.7953644012660304</v>
      </c>
      <c r="AL44" s="54">
        <v>0.7</v>
      </c>
      <c r="AM44" s="54">
        <v>0.56999999999999995</v>
      </c>
      <c r="AN44" s="54">
        <v>0.56000000000000005</v>
      </c>
      <c r="AO44" s="15">
        <f t="shared" si="18"/>
        <v>0.61</v>
      </c>
      <c r="AP44" s="74">
        <f t="shared" si="19"/>
        <v>7.8102496759066511E-2</v>
      </c>
      <c r="AQ44" s="50">
        <v>45956</v>
      </c>
      <c r="AR44" s="41" t="s">
        <v>53</v>
      </c>
      <c r="AS44" s="55"/>
    </row>
    <row r="45" spans="6:45">
      <c r="F45" s="14" t="s">
        <v>51</v>
      </c>
      <c r="G45" s="45">
        <v>9</v>
      </c>
      <c r="H45" s="45" t="s">
        <v>12</v>
      </c>
      <c r="I45" s="45" t="s">
        <v>9</v>
      </c>
      <c r="J45" s="45">
        <v>2</v>
      </c>
      <c r="K45" s="1">
        <v>43</v>
      </c>
      <c r="L45" s="1" t="s">
        <v>57</v>
      </c>
      <c r="M45" s="41">
        <v>40.15</v>
      </c>
      <c r="N45" s="41">
        <v>40.200000000000003</v>
      </c>
      <c r="O45" s="41">
        <v>40.159999999999997</v>
      </c>
      <c r="P45" s="69">
        <f t="shared" si="14"/>
        <v>40.169999999999995</v>
      </c>
      <c r="Q45" s="69">
        <f t="shared" si="15"/>
        <v>2.6457513110648697E-2</v>
      </c>
      <c r="R45" s="41">
        <v>20.18</v>
      </c>
      <c r="S45" s="41">
        <v>20.22</v>
      </c>
      <c r="T45" s="41">
        <v>20.18</v>
      </c>
      <c r="U45" s="69">
        <f t="shared" si="20"/>
        <v>20.193333333333332</v>
      </c>
      <c r="V45" s="69">
        <f t="shared" si="21"/>
        <v>2.3094010767584539E-2</v>
      </c>
      <c r="W45" s="41">
        <v>9.9700000000000006</v>
      </c>
      <c r="X45" s="41">
        <v>9.9700000000000006</v>
      </c>
      <c r="Y45" s="41">
        <v>9.98</v>
      </c>
      <c r="Z45" s="69">
        <f t="shared" si="22"/>
        <v>9.9733333333333345</v>
      </c>
      <c r="AA45" s="69">
        <f t="shared" si="23"/>
        <v>5.7735026918961348E-3</v>
      </c>
      <c r="AB45" s="1"/>
      <c r="AC45" s="1"/>
      <c r="AD45" s="1"/>
      <c r="AE45" s="1" t="e">
        <f t="shared" si="24"/>
        <v>#DIV/0!</v>
      </c>
      <c r="AF45" s="1" t="e">
        <f t="shared" si="25"/>
        <v>#DIV/0!</v>
      </c>
      <c r="AG45" s="41">
        <v>26</v>
      </c>
      <c r="AH45" s="41">
        <v>28.7</v>
      </c>
      <c r="AI45" s="41">
        <v>29.4</v>
      </c>
      <c r="AJ45" s="69">
        <f t="shared" si="16"/>
        <v>28.033333333333331</v>
      </c>
      <c r="AK45" s="69">
        <f t="shared" si="17"/>
        <v>1.7953644012660304</v>
      </c>
      <c r="AL45" s="54">
        <v>0.7</v>
      </c>
      <c r="AM45" s="54">
        <v>0.56999999999999995</v>
      </c>
      <c r="AN45" s="54">
        <v>0.56000000000000005</v>
      </c>
      <c r="AO45" s="15">
        <f t="shared" si="18"/>
        <v>0.61</v>
      </c>
      <c r="AP45" s="74">
        <f t="shared" si="19"/>
        <v>7.8102496759066511E-2</v>
      </c>
      <c r="AQ45" s="50">
        <v>45956</v>
      </c>
      <c r="AR45" s="41" t="s">
        <v>53</v>
      </c>
      <c r="AS45" s="55"/>
    </row>
    <row r="46" spans="6:45">
      <c r="F46" s="14" t="s">
        <v>51</v>
      </c>
      <c r="G46" s="45">
        <v>9</v>
      </c>
      <c r="H46" s="45" t="s">
        <v>12</v>
      </c>
      <c r="I46" s="45" t="s">
        <v>9</v>
      </c>
      <c r="J46" s="45">
        <v>2</v>
      </c>
      <c r="K46" s="1">
        <v>44</v>
      </c>
      <c r="L46" s="1" t="s">
        <v>59</v>
      </c>
      <c r="M46" s="41">
        <v>40.11</v>
      </c>
      <c r="N46" s="41">
        <v>40.1</v>
      </c>
      <c r="O46" s="41">
        <v>40.11</v>
      </c>
      <c r="P46" s="69">
        <f t="shared" ref="P46:P62" si="26">AVERAGE(M46:O46)</f>
        <v>40.106666666666669</v>
      </c>
      <c r="Q46" s="69">
        <f t="shared" ref="Q46:Q62" si="27">_xlfn.STDEV.S(M46:O46)</f>
        <v>5.7735026918951087E-3</v>
      </c>
      <c r="R46" s="41">
        <v>20.170000000000002</v>
      </c>
      <c r="S46" s="41">
        <v>20.170000000000002</v>
      </c>
      <c r="T46" s="41">
        <v>20.18</v>
      </c>
      <c r="U46" s="69">
        <f t="shared" si="20"/>
        <v>20.173333333333336</v>
      </c>
      <c r="V46" s="69">
        <f t="shared" si="21"/>
        <v>5.7735026918951087E-3</v>
      </c>
      <c r="W46" s="41">
        <v>10</v>
      </c>
      <c r="X46" s="41">
        <v>9.93</v>
      </c>
      <c r="Y46" s="41">
        <v>10</v>
      </c>
      <c r="Z46" s="69">
        <f t="shared" si="22"/>
        <v>9.9766666666666666</v>
      </c>
      <c r="AA46" s="69">
        <f t="shared" si="23"/>
        <v>4.0414518843273968E-2</v>
      </c>
      <c r="AB46" s="1"/>
      <c r="AC46" s="1"/>
      <c r="AD46" s="1"/>
      <c r="AE46" s="1" t="e">
        <f t="shared" si="24"/>
        <v>#DIV/0!</v>
      </c>
      <c r="AF46" s="1" t="e">
        <f t="shared" si="25"/>
        <v>#DIV/0!</v>
      </c>
      <c r="AG46" s="41">
        <v>26</v>
      </c>
      <c r="AH46" s="41">
        <v>28.7</v>
      </c>
      <c r="AI46" s="41">
        <v>29.4</v>
      </c>
      <c r="AJ46" s="69">
        <f t="shared" ref="AJ46:AJ62" si="28">AVERAGE(AG46:AI46)</f>
        <v>28.033333333333331</v>
      </c>
      <c r="AK46" s="69">
        <f t="shared" ref="AK46:AK62" si="29">_xlfn.STDEV.S(AG46:AI46)</f>
        <v>1.7953644012660304</v>
      </c>
      <c r="AL46" s="54">
        <v>0.7</v>
      </c>
      <c r="AM46" s="54">
        <v>0.56999999999999995</v>
      </c>
      <c r="AN46" s="54">
        <v>0.56000000000000005</v>
      </c>
      <c r="AO46" s="15">
        <f t="shared" ref="AO46:AO62" si="30">AVERAGE(AL46:AN46)</f>
        <v>0.61</v>
      </c>
      <c r="AP46" s="74">
        <f t="shared" ref="AP46:AP62" si="31">_xlfn.STDEV.S(AL46:AN46)</f>
        <v>7.8102496759066511E-2</v>
      </c>
      <c r="AQ46" s="50">
        <v>45956</v>
      </c>
      <c r="AR46" s="41" t="s">
        <v>53</v>
      </c>
      <c r="AS46" s="55"/>
    </row>
    <row r="47" spans="6:45" ht="15.75" thickBot="1">
      <c r="F47" s="14" t="s">
        <v>51</v>
      </c>
      <c r="G47" s="45">
        <v>9</v>
      </c>
      <c r="H47" s="45" t="s">
        <v>12</v>
      </c>
      <c r="I47" s="45" t="s">
        <v>9</v>
      </c>
      <c r="J47" s="45">
        <v>2</v>
      </c>
      <c r="K47" s="1">
        <v>45</v>
      </c>
      <c r="L47" s="1" t="s">
        <v>60</v>
      </c>
      <c r="M47" s="41">
        <v>40.200000000000003</v>
      </c>
      <c r="N47" s="41">
        <v>40.17</v>
      </c>
      <c r="O47" s="41">
        <v>40.14</v>
      </c>
      <c r="P47" s="69">
        <f t="shared" si="26"/>
        <v>40.17</v>
      </c>
      <c r="Q47" s="69">
        <f t="shared" si="27"/>
        <v>3.0000000000001137E-2</v>
      </c>
      <c r="R47" s="48">
        <v>20.21</v>
      </c>
      <c r="S47" s="48">
        <v>20.170000000000002</v>
      </c>
      <c r="T47" s="48">
        <v>20.22</v>
      </c>
      <c r="U47" s="70">
        <f t="shared" si="20"/>
        <v>20.2</v>
      </c>
      <c r="V47" s="70">
        <f t="shared" si="21"/>
        <v>2.6457513110644669E-2</v>
      </c>
      <c r="W47" s="48">
        <v>9.99</v>
      </c>
      <c r="X47" s="48">
        <v>9.99</v>
      </c>
      <c r="Y47" s="48">
        <v>9.98</v>
      </c>
      <c r="Z47" s="70">
        <f t="shared" si="22"/>
        <v>9.9866666666666664</v>
      </c>
      <c r="AA47" s="70">
        <f t="shared" si="23"/>
        <v>5.7735026918961348E-3</v>
      </c>
      <c r="AB47" s="22"/>
      <c r="AC47" s="22"/>
      <c r="AD47" s="22"/>
      <c r="AE47" s="22" t="e">
        <f t="shared" si="24"/>
        <v>#DIV/0!</v>
      </c>
      <c r="AF47" s="22" t="e">
        <f t="shared" si="25"/>
        <v>#DIV/0!</v>
      </c>
      <c r="AG47" s="41">
        <v>26</v>
      </c>
      <c r="AH47" s="41">
        <v>28.7</v>
      </c>
      <c r="AI47" s="41">
        <v>29.4</v>
      </c>
      <c r="AJ47" s="69">
        <f t="shared" si="28"/>
        <v>28.033333333333331</v>
      </c>
      <c r="AK47" s="69">
        <f t="shared" si="29"/>
        <v>1.7953644012660304</v>
      </c>
      <c r="AL47" s="54">
        <v>0.7</v>
      </c>
      <c r="AM47" s="54">
        <v>0.56999999999999995</v>
      </c>
      <c r="AN47" s="54">
        <v>0.56000000000000005</v>
      </c>
      <c r="AO47" s="15">
        <f t="shared" si="30"/>
        <v>0.61</v>
      </c>
      <c r="AP47" s="74">
        <f t="shared" si="31"/>
        <v>7.8102496759066511E-2</v>
      </c>
      <c r="AQ47" s="50">
        <v>45956</v>
      </c>
      <c r="AR47" s="41" t="s">
        <v>53</v>
      </c>
      <c r="AS47" s="55"/>
    </row>
    <row r="48" spans="6:45">
      <c r="F48" s="30" t="s">
        <v>51</v>
      </c>
      <c r="G48" s="44">
        <v>10</v>
      </c>
      <c r="H48" s="44" t="s">
        <v>10</v>
      </c>
      <c r="I48" s="44" t="s">
        <v>9</v>
      </c>
      <c r="J48" s="47">
        <v>2</v>
      </c>
      <c r="K48" s="31">
        <v>46</v>
      </c>
      <c r="L48" s="31" t="s">
        <v>52</v>
      </c>
      <c r="M48" s="47">
        <v>40.11</v>
      </c>
      <c r="N48" s="47">
        <v>40.119999999999997</v>
      </c>
      <c r="O48" s="47">
        <v>40.1</v>
      </c>
      <c r="P48" s="68">
        <f t="shared" si="26"/>
        <v>40.109999999999992</v>
      </c>
      <c r="Q48" s="68">
        <f t="shared" si="27"/>
        <v>9.9999999999980105E-3</v>
      </c>
      <c r="R48" s="47">
        <v>20.149999999999999</v>
      </c>
      <c r="S48" s="47">
        <v>20.16</v>
      </c>
      <c r="T48" s="47">
        <v>20.16</v>
      </c>
      <c r="U48" s="68">
        <f t="shared" si="20"/>
        <v>20.156666666666666</v>
      </c>
      <c r="V48" s="68">
        <f t="shared" si="21"/>
        <v>5.77350269189716E-3</v>
      </c>
      <c r="W48" s="47">
        <v>9.9600000000000009</v>
      </c>
      <c r="X48" s="47">
        <v>9.98</v>
      </c>
      <c r="Y48" s="47">
        <v>9.98</v>
      </c>
      <c r="Z48" s="68">
        <f t="shared" si="22"/>
        <v>9.9733333333333345</v>
      </c>
      <c r="AA48" s="68">
        <f t="shared" si="23"/>
        <v>1.154700538379227E-2</v>
      </c>
      <c r="AB48" s="31"/>
      <c r="AC48" s="31"/>
      <c r="AD48" s="31"/>
      <c r="AE48" s="31" t="e">
        <f t="shared" si="24"/>
        <v>#DIV/0!</v>
      </c>
      <c r="AF48" s="31" t="e">
        <f t="shared" si="25"/>
        <v>#DIV/0!</v>
      </c>
      <c r="AG48" s="47">
        <v>28.4</v>
      </c>
      <c r="AH48" s="47">
        <v>29.6</v>
      </c>
      <c r="AI48" s="47">
        <v>29.9</v>
      </c>
      <c r="AJ48" s="68">
        <f t="shared" si="28"/>
        <v>29.3</v>
      </c>
      <c r="AK48" s="68">
        <f t="shared" si="29"/>
        <v>0.79372539331937764</v>
      </c>
      <c r="AL48" s="51">
        <v>0.59</v>
      </c>
      <c r="AM48" s="51">
        <v>0.56000000000000005</v>
      </c>
      <c r="AN48" s="51">
        <v>0.54</v>
      </c>
      <c r="AO48" s="33">
        <f t="shared" si="30"/>
        <v>0.56333333333333335</v>
      </c>
      <c r="AP48" s="73">
        <f t="shared" si="31"/>
        <v>2.5166114784235794E-2</v>
      </c>
      <c r="AQ48" s="52">
        <v>45957</v>
      </c>
      <c r="AR48" s="47" t="s">
        <v>53</v>
      </c>
      <c r="AS48" s="53"/>
    </row>
    <row r="49" spans="6:45">
      <c r="F49" s="14" t="s">
        <v>51</v>
      </c>
      <c r="G49" s="45">
        <v>10</v>
      </c>
      <c r="H49" s="45" t="s">
        <v>10</v>
      </c>
      <c r="I49" s="45" t="s">
        <v>9</v>
      </c>
      <c r="J49" s="41">
        <v>2</v>
      </c>
      <c r="K49" s="1">
        <v>47</v>
      </c>
      <c r="L49" s="1" t="s">
        <v>55</v>
      </c>
      <c r="M49" s="41">
        <v>40.119999999999997</v>
      </c>
      <c r="N49" s="41">
        <v>40.090000000000003</v>
      </c>
      <c r="O49" s="41">
        <v>40.090000000000003</v>
      </c>
      <c r="P49" s="69">
        <f t="shared" si="26"/>
        <v>40.1</v>
      </c>
      <c r="Q49" s="69">
        <f t="shared" si="27"/>
        <v>1.7320508075685328E-2</v>
      </c>
      <c r="R49" s="41">
        <v>20.239999999999998</v>
      </c>
      <c r="S49" s="41">
        <v>20.21</v>
      </c>
      <c r="T49" s="41">
        <v>20.23</v>
      </c>
      <c r="U49" s="69">
        <f t="shared" si="20"/>
        <v>20.22666666666667</v>
      </c>
      <c r="V49" s="69">
        <f t="shared" si="21"/>
        <v>1.5275252316518365E-2</v>
      </c>
      <c r="W49" s="41">
        <v>9.9499999999999993</v>
      </c>
      <c r="X49" s="41">
        <v>10</v>
      </c>
      <c r="Y49" s="41">
        <v>9.9600000000000009</v>
      </c>
      <c r="Z49" s="69">
        <f t="shared" si="22"/>
        <v>9.9700000000000006</v>
      </c>
      <c r="AA49" s="69">
        <f t="shared" si="23"/>
        <v>2.6457513110646012E-2</v>
      </c>
      <c r="AB49" s="1"/>
      <c r="AC49" s="1"/>
      <c r="AD49" s="1"/>
      <c r="AE49" s="1" t="e">
        <f t="shared" si="24"/>
        <v>#DIV/0!</v>
      </c>
      <c r="AF49" s="1" t="e">
        <f t="shared" si="25"/>
        <v>#DIV/0!</v>
      </c>
      <c r="AG49" s="41">
        <v>28.4</v>
      </c>
      <c r="AH49" s="41">
        <v>29.6</v>
      </c>
      <c r="AI49" s="41">
        <v>29.9</v>
      </c>
      <c r="AJ49" s="69">
        <f t="shared" si="28"/>
        <v>29.3</v>
      </c>
      <c r="AK49" s="69">
        <f t="shared" si="29"/>
        <v>0.79372539331937764</v>
      </c>
      <c r="AL49" s="54">
        <v>0.59</v>
      </c>
      <c r="AM49" s="54">
        <v>0.56000000000000005</v>
      </c>
      <c r="AN49" s="54">
        <v>0.54</v>
      </c>
      <c r="AO49" s="15">
        <f t="shared" si="30"/>
        <v>0.56333333333333335</v>
      </c>
      <c r="AP49" s="74">
        <f t="shared" si="31"/>
        <v>2.5166114784235794E-2</v>
      </c>
      <c r="AQ49" s="50">
        <v>45957</v>
      </c>
      <c r="AR49" s="41" t="s">
        <v>53</v>
      </c>
      <c r="AS49" s="55"/>
    </row>
    <row r="50" spans="6:45">
      <c r="F50" s="14" t="s">
        <v>51</v>
      </c>
      <c r="G50" s="45">
        <v>10</v>
      </c>
      <c r="H50" s="45" t="s">
        <v>10</v>
      </c>
      <c r="I50" s="45" t="s">
        <v>9</v>
      </c>
      <c r="J50" s="41">
        <v>2</v>
      </c>
      <c r="K50" s="1">
        <v>48</v>
      </c>
      <c r="L50" s="1" t="s">
        <v>57</v>
      </c>
      <c r="M50" s="41">
        <v>40.04</v>
      </c>
      <c r="N50" s="41">
        <v>40.08</v>
      </c>
      <c r="O50" s="41">
        <v>40.14</v>
      </c>
      <c r="P50" s="69">
        <f t="shared" si="26"/>
        <v>40.086666666666666</v>
      </c>
      <c r="Q50" s="69">
        <f t="shared" si="27"/>
        <v>5.0332229568472477E-2</v>
      </c>
      <c r="R50" s="41">
        <v>20.22</v>
      </c>
      <c r="S50" s="41">
        <v>20.239999999999998</v>
      </c>
      <c r="T50" s="41">
        <v>20.260000000000002</v>
      </c>
      <c r="U50" s="69">
        <f t="shared" si="20"/>
        <v>20.239999999999998</v>
      </c>
      <c r="V50" s="69">
        <f t="shared" si="21"/>
        <v>2.000000000000135E-2</v>
      </c>
      <c r="W50" s="41">
        <v>9.9600000000000009</v>
      </c>
      <c r="X50" s="41">
        <v>9.99</v>
      </c>
      <c r="Y50" s="41">
        <v>9.98</v>
      </c>
      <c r="Z50" s="69">
        <f t="shared" si="22"/>
        <v>9.9766666666666683</v>
      </c>
      <c r="AA50" s="69">
        <f t="shared" si="23"/>
        <v>1.527525231651914E-2</v>
      </c>
      <c r="AB50" s="1"/>
      <c r="AC50" s="1"/>
      <c r="AD50" s="1"/>
      <c r="AE50" s="1" t="e">
        <f t="shared" si="24"/>
        <v>#DIV/0!</v>
      </c>
      <c r="AF50" s="1" t="e">
        <f t="shared" si="25"/>
        <v>#DIV/0!</v>
      </c>
      <c r="AG50" s="41">
        <v>28.4</v>
      </c>
      <c r="AH50" s="41">
        <v>29.6</v>
      </c>
      <c r="AI50" s="41">
        <v>29.9</v>
      </c>
      <c r="AJ50" s="69">
        <f t="shared" si="28"/>
        <v>29.3</v>
      </c>
      <c r="AK50" s="69">
        <f t="shared" si="29"/>
        <v>0.79372539331937764</v>
      </c>
      <c r="AL50" s="54">
        <v>0.59</v>
      </c>
      <c r="AM50" s="54">
        <v>0.56000000000000005</v>
      </c>
      <c r="AN50" s="54">
        <v>0.54</v>
      </c>
      <c r="AO50" s="15">
        <f t="shared" si="30"/>
        <v>0.56333333333333335</v>
      </c>
      <c r="AP50" s="74">
        <f t="shared" si="31"/>
        <v>2.5166114784235794E-2</v>
      </c>
      <c r="AQ50" s="50">
        <v>45957</v>
      </c>
      <c r="AR50" s="41" t="s">
        <v>53</v>
      </c>
      <c r="AS50" s="55"/>
    </row>
    <row r="51" spans="6:45">
      <c r="F51" s="14" t="s">
        <v>51</v>
      </c>
      <c r="G51" s="45">
        <v>10</v>
      </c>
      <c r="H51" s="45" t="s">
        <v>10</v>
      </c>
      <c r="I51" s="45" t="s">
        <v>9</v>
      </c>
      <c r="J51" s="41">
        <v>2</v>
      </c>
      <c r="K51" s="1">
        <v>49</v>
      </c>
      <c r="L51" s="1" t="s">
        <v>59</v>
      </c>
      <c r="M51" s="41">
        <v>40.14</v>
      </c>
      <c r="N51" s="41">
        <v>40.15</v>
      </c>
      <c r="O51" s="41">
        <v>40.1</v>
      </c>
      <c r="P51" s="69">
        <f t="shared" si="26"/>
        <v>40.129999999999995</v>
      </c>
      <c r="Q51" s="69">
        <f t="shared" si="27"/>
        <v>2.6457513110644669E-2</v>
      </c>
      <c r="R51" s="41">
        <v>20.190000000000001</v>
      </c>
      <c r="S51" s="41">
        <v>20.21</v>
      </c>
      <c r="T51" s="41">
        <v>20.2</v>
      </c>
      <c r="U51" s="69">
        <f t="shared" si="20"/>
        <v>20.200000000000003</v>
      </c>
      <c r="V51" s="69">
        <f t="shared" si="21"/>
        <v>9.9999999999997868E-3</v>
      </c>
      <c r="W51" s="41">
        <v>9.98</v>
      </c>
      <c r="X51" s="41">
        <v>10.01</v>
      </c>
      <c r="Y51" s="41">
        <v>9.93</v>
      </c>
      <c r="Z51" s="69">
        <f t="shared" si="22"/>
        <v>9.9733333333333345</v>
      </c>
      <c r="AA51" s="69">
        <f t="shared" si="23"/>
        <v>4.0414518843273899E-2</v>
      </c>
      <c r="AB51" s="1"/>
      <c r="AC51" s="1"/>
      <c r="AD51" s="1"/>
      <c r="AE51" s="1" t="e">
        <f t="shared" si="24"/>
        <v>#DIV/0!</v>
      </c>
      <c r="AF51" s="1" t="e">
        <f t="shared" si="25"/>
        <v>#DIV/0!</v>
      </c>
      <c r="AG51" s="41">
        <v>28.4</v>
      </c>
      <c r="AH51" s="41">
        <v>29.6</v>
      </c>
      <c r="AI51" s="41">
        <v>29.9</v>
      </c>
      <c r="AJ51" s="69">
        <f t="shared" si="28"/>
        <v>29.3</v>
      </c>
      <c r="AK51" s="69">
        <f t="shared" si="29"/>
        <v>0.79372539331937764</v>
      </c>
      <c r="AL51" s="54">
        <v>0.59</v>
      </c>
      <c r="AM51" s="54">
        <v>0.56000000000000005</v>
      </c>
      <c r="AN51" s="54">
        <v>0.54</v>
      </c>
      <c r="AO51" s="15">
        <f t="shared" si="30"/>
        <v>0.56333333333333335</v>
      </c>
      <c r="AP51" s="74">
        <f t="shared" si="31"/>
        <v>2.5166114784235794E-2</v>
      </c>
      <c r="AQ51" s="50">
        <v>45957</v>
      </c>
      <c r="AR51" s="41" t="s">
        <v>53</v>
      </c>
      <c r="AS51" s="55"/>
    </row>
    <row r="52" spans="6:45" ht="15.75" thickBot="1">
      <c r="F52" s="14" t="s">
        <v>51</v>
      </c>
      <c r="G52" s="45">
        <v>10</v>
      </c>
      <c r="H52" s="45" t="s">
        <v>10</v>
      </c>
      <c r="I52" s="45" t="s">
        <v>9</v>
      </c>
      <c r="J52" s="41">
        <v>2</v>
      </c>
      <c r="K52" s="1">
        <v>50</v>
      </c>
      <c r="L52" s="1" t="s">
        <v>60</v>
      </c>
      <c r="M52" s="41">
        <v>40.07</v>
      </c>
      <c r="N52" s="41">
        <v>40.14</v>
      </c>
      <c r="O52" s="41">
        <v>40.049999999999997</v>
      </c>
      <c r="P52" s="69">
        <f t="shared" si="26"/>
        <v>40.086666666666666</v>
      </c>
      <c r="Q52" s="69">
        <f t="shared" si="27"/>
        <v>4.7258156262527454E-2</v>
      </c>
      <c r="R52" s="48">
        <v>20.25</v>
      </c>
      <c r="S52" s="48">
        <v>20.239999999999998</v>
      </c>
      <c r="T52" s="48">
        <v>20.22</v>
      </c>
      <c r="U52" s="70">
        <f t="shared" si="20"/>
        <v>20.236666666666665</v>
      </c>
      <c r="V52" s="70">
        <f t="shared" si="21"/>
        <v>1.5275252316519916E-2</v>
      </c>
      <c r="W52" s="48">
        <v>9.98</v>
      </c>
      <c r="X52" s="48">
        <v>9.9700000000000006</v>
      </c>
      <c r="Y52" s="48">
        <v>9.98</v>
      </c>
      <c r="Z52" s="70">
        <f t="shared" si="22"/>
        <v>9.9766666666666683</v>
      </c>
      <c r="AA52" s="70">
        <f t="shared" si="23"/>
        <v>5.7735026918961348E-3</v>
      </c>
      <c r="AB52" s="22"/>
      <c r="AC52" s="22"/>
      <c r="AD52" s="22"/>
      <c r="AE52" s="22" t="e">
        <f t="shared" si="24"/>
        <v>#DIV/0!</v>
      </c>
      <c r="AF52" s="22" t="e">
        <f t="shared" si="25"/>
        <v>#DIV/0!</v>
      </c>
      <c r="AG52" s="41">
        <v>28.4</v>
      </c>
      <c r="AH52" s="41">
        <v>29.6</v>
      </c>
      <c r="AI52" s="41">
        <v>29.9</v>
      </c>
      <c r="AJ52" s="69">
        <f t="shared" si="28"/>
        <v>29.3</v>
      </c>
      <c r="AK52" s="69">
        <f t="shared" si="29"/>
        <v>0.79372539331937764</v>
      </c>
      <c r="AL52" s="54">
        <v>0.59</v>
      </c>
      <c r="AM52" s="54">
        <v>0.56000000000000005</v>
      </c>
      <c r="AN52" s="54">
        <v>0.54</v>
      </c>
      <c r="AO52" s="15">
        <f t="shared" si="30"/>
        <v>0.56333333333333335</v>
      </c>
      <c r="AP52" s="74">
        <f t="shared" si="31"/>
        <v>2.5166114784235794E-2</v>
      </c>
      <c r="AQ52" s="50">
        <v>45957</v>
      </c>
      <c r="AR52" s="41" t="s">
        <v>53</v>
      </c>
      <c r="AS52" s="55"/>
    </row>
    <row r="53" spans="6:45">
      <c r="F53" s="30" t="s">
        <v>51</v>
      </c>
      <c r="G53" s="44">
        <v>11</v>
      </c>
      <c r="H53" s="44" t="s">
        <v>8</v>
      </c>
      <c r="I53" s="44" t="s">
        <v>11</v>
      </c>
      <c r="J53" s="44">
        <v>2</v>
      </c>
      <c r="K53" s="31">
        <v>51</v>
      </c>
      <c r="L53" s="31" t="s">
        <v>52</v>
      </c>
      <c r="M53" s="47">
        <v>20.16</v>
      </c>
      <c r="N53" s="47">
        <v>20.14</v>
      </c>
      <c r="O53" s="47">
        <v>20.079999999999998</v>
      </c>
      <c r="P53" s="68">
        <f t="shared" si="26"/>
        <v>20.126666666666665</v>
      </c>
      <c r="Q53" s="68">
        <f t="shared" si="27"/>
        <v>4.1633319989323757E-2</v>
      </c>
      <c r="R53" s="47">
        <v>10.02</v>
      </c>
      <c r="S53" s="47">
        <v>10.029999999999999</v>
      </c>
      <c r="T53" s="47">
        <v>10.02</v>
      </c>
      <c r="U53" s="68">
        <f t="shared" si="20"/>
        <v>10.023333333333332</v>
      </c>
      <c r="V53" s="68">
        <f t="shared" si="21"/>
        <v>5.7735026918961348E-3</v>
      </c>
      <c r="W53" s="47">
        <v>5.13</v>
      </c>
      <c r="X53" s="47">
        <v>5.12</v>
      </c>
      <c r="Y53" s="47">
        <v>5.12</v>
      </c>
      <c r="Z53" s="68">
        <f t="shared" si="22"/>
        <v>5.123333333333334</v>
      </c>
      <c r="AA53" s="68">
        <f t="shared" si="23"/>
        <v>5.7735026918961348E-3</v>
      </c>
      <c r="AB53" s="31"/>
      <c r="AC53" s="31"/>
      <c r="AD53" s="31"/>
      <c r="AE53" s="31" t="e">
        <f t="shared" si="24"/>
        <v>#DIV/0!</v>
      </c>
      <c r="AF53" s="31" t="e">
        <f t="shared" si="25"/>
        <v>#DIV/0!</v>
      </c>
      <c r="AG53" s="47">
        <v>28.6</v>
      </c>
      <c r="AH53" s="47">
        <v>29.4</v>
      </c>
      <c r="AI53" s="47">
        <v>29.7</v>
      </c>
      <c r="AJ53" s="68">
        <f t="shared" si="28"/>
        <v>29.233333333333334</v>
      </c>
      <c r="AK53" s="68">
        <f t="shared" si="29"/>
        <v>0.56862407030773143</v>
      </c>
      <c r="AL53" s="51">
        <v>0.57999999999999996</v>
      </c>
      <c r="AM53" s="51">
        <v>0.56000000000000005</v>
      </c>
      <c r="AN53" s="51">
        <v>0.56000000000000005</v>
      </c>
      <c r="AO53" s="33">
        <f t="shared" si="30"/>
        <v>0.56666666666666676</v>
      </c>
      <c r="AP53" s="73">
        <f t="shared" si="31"/>
        <v>1.1547005383792462E-2</v>
      </c>
      <c r="AQ53" s="52">
        <v>45957</v>
      </c>
      <c r="AR53" s="47" t="s">
        <v>53</v>
      </c>
      <c r="AS53" s="53"/>
    </row>
    <row r="54" spans="6:45">
      <c r="F54" s="14" t="s">
        <v>51</v>
      </c>
      <c r="G54" s="45">
        <v>11</v>
      </c>
      <c r="H54" s="45" t="s">
        <v>8</v>
      </c>
      <c r="I54" s="45" t="s">
        <v>11</v>
      </c>
      <c r="J54" s="45">
        <v>2</v>
      </c>
      <c r="K54" s="1">
        <v>52</v>
      </c>
      <c r="L54" s="1" t="s">
        <v>55</v>
      </c>
      <c r="M54" s="41">
        <v>20.170000000000002</v>
      </c>
      <c r="N54" s="41">
        <v>20.059999999999999</v>
      </c>
      <c r="O54" s="41">
        <v>20.079999999999998</v>
      </c>
      <c r="P54" s="69">
        <f t="shared" si="26"/>
        <v>20.103333333333335</v>
      </c>
      <c r="Q54" s="69">
        <f t="shared" si="27"/>
        <v>5.8594652770824936E-2</v>
      </c>
      <c r="R54" s="41">
        <v>10.039999999999999</v>
      </c>
      <c r="S54" s="41">
        <v>10.08</v>
      </c>
      <c r="T54" s="41">
        <v>10.17</v>
      </c>
      <c r="U54" s="69">
        <f t="shared" si="20"/>
        <v>10.096666666666666</v>
      </c>
      <c r="V54" s="69">
        <f t="shared" si="21"/>
        <v>6.6583281184794244E-2</v>
      </c>
      <c r="W54" s="41">
        <v>5.52</v>
      </c>
      <c r="X54" s="41">
        <v>5.44</v>
      </c>
      <c r="Y54" s="41">
        <v>5.58</v>
      </c>
      <c r="Z54" s="69">
        <f t="shared" si="22"/>
        <v>5.5133333333333328</v>
      </c>
      <c r="AA54" s="69">
        <f t="shared" si="23"/>
        <v>7.0237691685684736E-2</v>
      </c>
      <c r="AB54" s="1"/>
      <c r="AC54" s="1"/>
      <c r="AD54" s="1"/>
      <c r="AE54" s="1" t="e">
        <f t="shared" si="24"/>
        <v>#DIV/0!</v>
      </c>
      <c r="AF54" s="1" t="e">
        <f t="shared" si="25"/>
        <v>#DIV/0!</v>
      </c>
      <c r="AG54" s="41">
        <v>28.6</v>
      </c>
      <c r="AH54" s="41">
        <v>29.4</v>
      </c>
      <c r="AI54" s="41">
        <v>29.7</v>
      </c>
      <c r="AJ54" s="69">
        <f t="shared" si="28"/>
        <v>29.233333333333334</v>
      </c>
      <c r="AK54" s="69">
        <f t="shared" si="29"/>
        <v>0.56862407030773143</v>
      </c>
      <c r="AL54" s="54">
        <v>0.57999999999999996</v>
      </c>
      <c r="AM54" s="54">
        <v>0.56000000000000005</v>
      </c>
      <c r="AN54" s="54">
        <v>0.56000000000000005</v>
      </c>
      <c r="AO54" s="15">
        <f t="shared" si="30"/>
        <v>0.56666666666666676</v>
      </c>
      <c r="AP54" s="74">
        <f t="shared" si="31"/>
        <v>1.1547005383792462E-2</v>
      </c>
      <c r="AQ54" s="50">
        <v>45957</v>
      </c>
      <c r="AR54" s="41" t="s">
        <v>53</v>
      </c>
      <c r="AS54" s="55"/>
    </row>
    <row r="55" spans="6:45">
      <c r="F55" s="14" t="s">
        <v>51</v>
      </c>
      <c r="G55" s="45">
        <v>11</v>
      </c>
      <c r="H55" s="45" t="s">
        <v>8</v>
      </c>
      <c r="I55" s="45" t="s">
        <v>11</v>
      </c>
      <c r="J55" s="45">
        <v>2</v>
      </c>
      <c r="K55" s="1">
        <v>53</v>
      </c>
      <c r="L55" s="1" t="s">
        <v>57</v>
      </c>
      <c r="M55" s="41">
        <v>20.11</v>
      </c>
      <c r="N55" s="41">
        <v>20.170000000000002</v>
      </c>
      <c r="O55" s="41">
        <v>20.100000000000001</v>
      </c>
      <c r="P55" s="69">
        <f t="shared" si="26"/>
        <v>20.126666666666669</v>
      </c>
      <c r="Q55" s="69">
        <f t="shared" si="27"/>
        <v>3.7859388972002424E-2</v>
      </c>
      <c r="R55" s="41">
        <v>10.01</v>
      </c>
      <c r="S55" s="41">
        <v>10.02</v>
      </c>
      <c r="T55" s="41">
        <v>10.01</v>
      </c>
      <c r="U55" s="69">
        <f t="shared" si="20"/>
        <v>10.013333333333334</v>
      </c>
      <c r="V55" s="69">
        <f t="shared" si="21"/>
        <v>5.7735026918961348E-3</v>
      </c>
      <c r="W55" s="41">
        <v>5.16</v>
      </c>
      <c r="X55" s="41">
        <v>5.15</v>
      </c>
      <c r="Y55" s="41">
        <v>5.16</v>
      </c>
      <c r="Z55" s="69">
        <f t="shared" si="22"/>
        <v>5.1566666666666672</v>
      </c>
      <c r="AA55" s="69">
        <f t="shared" si="23"/>
        <v>5.7735026918961348E-3</v>
      </c>
      <c r="AB55" s="1"/>
      <c r="AC55" s="1"/>
      <c r="AD55" s="1"/>
      <c r="AE55" s="1" t="e">
        <f t="shared" si="24"/>
        <v>#DIV/0!</v>
      </c>
      <c r="AF55" s="1" t="e">
        <f t="shared" si="25"/>
        <v>#DIV/0!</v>
      </c>
      <c r="AG55" s="41">
        <v>28.6</v>
      </c>
      <c r="AH55" s="41">
        <v>29.4</v>
      </c>
      <c r="AI55" s="41">
        <v>29.7</v>
      </c>
      <c r="AJ55" s="69">
        <f t="shared" si="28"/>
        <v>29.233333333333334</v>
      </c>
      <c r="AK55" s="69">
        <f t="shared" si="29"/>
        <v>0.56862407030773143</v>
      </c>
      <c r="AL55" s="54">
        <v>0.57999999999999996</v>
      </c>
      <c r="AM55" s="54">
        <v>0.56000000000000005</v>
      </c>
      <c r="AN55" s="54">
        <v>0.56000000000000005</v>
      </c>
      <c r="AO55" s="15">
        <f t="shared" si="30"/>
        <v>0.56666666666666676</v>
      </c>
      <c r="AP55" s="74">
        <f t="shared" si="31"/>
        <v>1.1547005383792462E-2</v>
      </c>
      <c r="AQ55" s="50">
        <v>45957</v>
      </c>
      <c r="AR55" s="41" t="s">
        <v>53</v>
      </c>
      <c r="AS55" s="55"/>
    </row>
    <row r="56" spans="6:45">
      <c r="F56" s="14" t="s">
        <v>51</v>
      </c>
      <c r="G56" s="45">
        <v>11</v>
      </c>
      <c r="H56" s="45" t="s">
        <v>8</v>
      </c>
      <c r="I56" s="45" t="s">
        <v>11</v>
      </c>
      <c r="J56" s="45">
        <v>2</v>
      </c>
      <c r="K56" s="1">
        <v>54</v>
      </c>
      <c r="L56" s="1" t="s">
        <v>59</v>
      </c>
      <c r="M56" s="41">
        <v>20.09</v>
      </c>
      <c r="N56" s="41">
        <v>20.05</v>
      </c>
      <c r="O56" s="41">
        <v>20.079999999999998</v>
      </c>
      <c r="P56" s="69">
        <f t="shared" si="26"/>
        <v>20.073333333333334</v>
      </c>
      <c r="Q56" s="69">
        <f t="shared" si="27"/>
        <v>2.0816659994660598E-2</v>
      </c>
      <c r="R56" s="41">
        <v>10.029999999999999</v>
      </c>
      <c r="S56" s="41">
        <v>10.039999999999999</v>
      </c>
      <c r="T56" s="41">
        <v>10.029999999999999</v>
      </c>
      <c r="U56" s="69">
        <f t="shared" si="20"/>
        <v>10.033333333333333</v>
      </c>
      <c r="V56" s="69">
        <f t="shared" si="21"/>
        <v>5.7735026918961348E-3</v>
      </c>
      <c r="W56" s="41">
        <v>5.17</v>
      </c>
      <c r="X56" s="41">
        <v>5.17</v>
      </c>
      <c r="Y56" s="41">
        <v>5.16</v>
      </c>
      <c r="Z56" s="69">
        <f t="shared" si="22"/>
        <v>5.166666666666667</v>
      </c>
      <c r="AA56" s="69">
        <f t="shared" si="23"/>
        <v>5.7735026918961348E-3</v>
      </c>
      <c r="AB56" s="1"/>
      <c r="AC56" s="1"/>
      <c r="AD56" s="1"/>
      <c r="AE56" s="1" t="e">
        <f t="shared" si="24"/>
        <v>#DIV/0!</v>
      </c>
      <c r="AF56" s="1" t="e">
        <f t="shared" si="25"/>
        <v>#DIV/0!</v>
      </c>
      <c r="AG56" s="41">
        <v>28.6</v>
      </c>
      <c r="AH56" s="41">
        <v>29.4</v>
      </c>
      <c r="AI56" s="41">
        <v>29.7</v>
      </c>
      <c r="AJ56" s="69">
        <f t="shared" si="28"/>
        <v>29.233333333333334</v>
      </c>
      <c r="AK56" s="69">
        <f t="shared" si="29"/>
        <v>0.56862407030773143</v>
      </c>
      <c r="AL56" s="54">
        <v>0.57999999999999996</v>
      </c>
      <c r="AM56" s="54">
        <v>0.56000000000000005</v>
      </c>
      <c r="AN56" s="54">
        <v>0.56000000000000005</v>
      </c>
      <c r="AO56" s="15">
        <f t="shared" si="30"/>
        <v>0.56666666666666676</v>
      </c>
      <c r="AP56" s="74">
        <f t="shared" si="31"/>
        <v>1.1547005383792462E-2</v>
      </c>
      <c r="AQ56" s="50">
        <v>45957</v>
      </c>
      <c r="AR56" s="41" t="s">
        <v>53</v>
      </c>
      <c r="AS56" s="55"/>
    </row>
    <row r="57" spans="6:45" ht="15.75" thickBot="1">
      <c r="F57" s="14" t="s">
        <v>51</v>
      </c>
      <c r="G57" s="45">
        <v>11</v>
      </c>
      <c r="H57" s="45" t="s">
        <v>8</v>
      </c>
      <c r="I57" s="45" t="s">
        <v>11</v>
      </c>
      <c r="J57" s="45">
        <v>2</v>
      </c>
      <c r="K57" s="1">
        <v>55</v>
      </c>
      <c r="L57" s="1" t="s">
        <v>60</v>
      </c>
      <c r="M57" s="41">
        <v>20.07</v>
      </c>
      <c r="N57" s="41">
        <v>20.059999999999999</v>
      </c>
      <c r="O57" s="41">
        <v>20.04</v>
      </c>
      <c r="P57" s="69">
        <f t="shared" si="26"/>
        <v>20.056666666666665</v>
      </c>
      <c r="Q57" s="69">
        <f t="shared" si="27"/>
        <v>1.5275252316519916E-2</v>
      </c>
      <c r="R57" s="48">
        <v>10.06</v>
      </c>
      <c r="S57" s="48">
        <v>10.14</v>
      </c>
      <c r="T57" s="48">
        <v>10.050000000000001</v>
      </c>
      <c r="U57" s="70">
        <f t="shared" si="20"/>
        <v>10.083333333333334</v>
      </c>
      <c r="V57" s="70">
        <f t="shared" si="21"/>
        <v>4.9328828623162443E-2</v>
      </c>
      <c r="W57" s="48">
        <v>5.13</v>
      </c>
      <c r="X57" s="48">
        <v>5.15</v>
      </c>
      <c r="Y57" s="48">
        <v>5.14</v>
      </c>
      <c r="Z57" s="70">
        <f t="shared" si="22"/>
        <v>5.1400000000000006</v>
      </c>
      <c r="AA57" s="70">
        <f t="shared" si="23"/>
        <v>1.0000000000000231E-2</v>
      </c>
      <c r="AB57" s="22"/>
      <c r="AC57" s="22"/>
      <c r="AD57" s="22"/>
      <c r="AE57" s="22" t="e">
        <f t="shared" si="24"/>
        <v>#DIV/0!</v>
      </c>
      <c r="AF57" s="22" t="e">
        <f t="shared" si="25"/>
        <v>#DIV/0!</v>
      </c>
      <c r="AG57" s="41">
        <v>28.6</v>
      </c>
      <c r="AH57" s="41">
        <v>29.4</v>
      </c>
      <c r="AI57" s="41">
        <v>29.7</v>
      </c>
      <c r="AJ57" s="69">
        <f t="shared" si="28"/>
        <v>29.233333333333334</v>
      </c>
      <c r="AK57" s="69">
        <f t="shared" si="29"/>
        <v>0.56862407030773143</v>
      </c>
      <c r="AL57" s="54">
        <v>0.57999999999999996</v>
      </c>
      <c r="AM57" s="54">
        <v>0.56000000000000005</v>
      </c>
      <c r="AN57" s="54">
        <v>0.56000000000000005</v>
      </c>
      <c r="AO57" s="15">
        <f t="shared" si="30"/>
        <v>0.56666666666666676</v>
      </c>
      <c r="AP57" s="74">
        <f t="shared" si="31"/>
        <v>1.1547005383792462E-2</v>
      </c>
      <c r="AQ57" s="50">
        <v>45957</v>
      </c>
      <c r="AR57" s="41" t="s">
        <v>53</v>
      </c>
      <c r="AS57" s="55"/>
    </row>
    <row r="58" spans="6:45">
      <c r="F58" s="30" t="s">
        <v>51</v>
      </c>
      <c r="G58" s="44">
        <v>12</v>
      </c>
      <c r="H58" s="44" t="s">
        <v>12</v>
      </c>
      <c r="I58" s="44" t="s">
        <v>11</v>
      </c>
      <c r="J58" s="44">
        <v>2</v>
      </c>
      <c r="K58" s="31">
        <v>56</v>
      </c>
      <c r="L58" s="31" t="s">
        <v>52</v>
      </c>
      <c r="M58" s="47">
        <v>20.18</v>
      </c>
      <c r="N58" s="47">
        <v>20.18</v>
      </c>
      <c r="O58" s="47">
        <v>20.190000000000001</v>
      </c>
      <c r="P58" s="68">
        <f t="shared" si="26"/>
        <v>20.183333333333334</v>
      </c>
      <c r="Q58" s="68">
        <f t="shared" si="27"/>
        <v>5.77350269189716E-3</v>
      </c>
      <c r="R58" s="47">
        <v>10.220000000000001</v>
      </c>
      <c r="S58" s="47">
        <v>10.23</v>
      </c>
      <c r="T58" s="47">
        <v>10.220000000000001</v>
      </c>
      <c r="U58" s="68">
        <f t="shared" si="20"/>
        <v>10.223333333333334</v>
      </c>
      <c r="V58" s="68">
        <f t="shared" si="21"/>
        <v>5.7735026918961348E-3</v>
      </c>
      <c r="W58" s="47">
        <v>5.17</v>
      </c>
      <c r="X58" s="47">
        <v>5.17</v>
      </c>
      <c r="Y58" s="47">
        <v>5.17</v>
      </c>
      <c r="Z58" s="68">
        <f t="shared" si="22"/>
        <v>5.17</v>
      </c>
      <c r="AA58" s="68">
        <f t="shared" si="23"/>
        <v>0</v>
      </c>
      <c r="AB58" s="31"/>
      <c r="AC58" s="31"/>
      <c r="AD58" s="31"/>
      <c r="AE58" s="31" t="e">
        <f t="shared" si="24"/>
        <v>#DIV/0!</v>
      </c>
      <c r="AF58" s="31" t="e">
        <f t="shared" si="25"/>
        <v>#DIV/0!</v>
      </c>
      <c r="AG58" s="47">
        <v>28.5</v>
      </c>
      <c r="AH58" s="47">
        <v>28.2</v>
      </c>
      <c r="AI58" s="47">
        <v>28.9</v>
      </c>
      <c r="AJ58" s="68">
        <f t="shared" si="28"/>
        <v>28.533333333333331</v>
      </c>
      <c r="AK58" s="68">
        <f t="shared" si="29"/>
        <v>0.35118845842842422</v>
      </c>
      <c r="AL58" s="51">
        <v>0.57999999999999996</v>
      </c>
      <c r="AM58" s="51">
        <v>0.59</v>
      </c>
      <c r="AN58" s="51">
        <v>0.56999999999999995</v>
      </c>
      <c r="AO58" s="33">
        <f t="shared" si="30"/>
        <v>0.57999999999999996</v>
      </c>
      <c r="AP58" s="73">
        <f t="shared" si="31"/>
        <v>1.0000000000000009E-2</v>
      </c>
      <c r="AQ58" s="52">
        <v>45957</v>
      </c>
      <c r="AR58" s="47" t="s">
        <v>53</v>
      </c>
      <c r="AS58" s="53"/>
    </row>
    <row r="59" spans="6:45">
      <c r="F59" s="14" t="s">
        <v>51</v>
      </c>
      <c r="G59" s="45">
        <v>12</v>
      </c>
      <c r="H59" s="45" t="s">
        <v>12</v>
      </c>
      <c r="I59" s="45" t="s">
        <v>11</v>
      </c>
      <c r="J59" s="45">
        <v>2</v>
      </c>
      <c r="K59" s="1">
        <v>57</v>
      </c>
      <c r="L59" s="1" t="s">
        <v>55</v>
      </c>
      <c r="M59" s="41">
        <v>20.170000000000002</v>
      </c>
      <c r="N59" s="41">
        <v>20.16</v>
      </c>
      <c r="O59" s="41">
        <v>20.170000000000002</v>
      </c>
      <c r="P59" s="69">
        <f t="shared" si="26"/>
        <v>20.166666666666668</v>
      </c>
      <c r="Q59" s="69">
        <f t="shared" si="27"/>
        <v>5.77350269189716E-3</v>
      </c>
      <c r="R59" s="41">
        <v>10.23</v>
      </c>
      <c r="S59" s="41">
        <v>10.220000000000001</v>
      </c>
      <c r="T59" s="41">
        <v>10.199999999999999</v>
      </c>
      <c r="U59" s="69">
        <f t="shared" si="20"/>
        <v>10.216666666666667</v>
      </c>
      <c r="V59" s="69">
        <f t="shared" si="21"/>
        <v>1.527525231652011E-2</v>
      </c>
      <c r="W59" s="41">
        <v>5.18</v>
      </c>
      <c r="X59" s="41">
        <v>5.18</v>
      </c>
      <c r="Y59" s="41">
        <v>5.17</v>
      </c>
      <c r="Z59" s="69">
        <f t="shared" si="22"/>
        <v>5.1766666666666667</v>
      </c>
      <c r="AA59" s="69">
        <f t="shared" si="23"/>
        <v>5.7735026918961348E-3</v>
      </c>
      <c r="AB59" s="1"/>
      <c r="AC59" s="1"/>
      <c r="AD59" s="1"/>
      <c r="AE59" s="1" t="e">
        <f t="shared" ref="AE59:AE62" si="32">AVERAGE(AB59:AD59)</f>
        <v>#DIV/0!</v>
      </c>
      <c r="AF59" s="1" t="e">
        <f t="shared" ref="AF59:AF62" si="33">_xlfn.STDEV.S(AB59:AD59)</f>
        <v>#DIV/0!</v>
      </c>
      <c r="AG59" s="41">
        <v>28.5</v>
      </c>
      <c r="AH59" s="41">
        <v>28.2</v>
      </c>
      <c r="AI59" s="41">
        <v>28.9</v>
      </c>
      <c r="AJ59" s="69">
        <f t="shared" si="28"/>
        <v>28.533333333333331</v>
      </c>
      <c r="AK59" s="69">
        <f t="shared" si="29"/>
        <v>0.35118845842842422</v>
      </c>
      <c r="AL59" s="54">
        <v>0.57999999999999996</v>
      </c>
      <c r="AM59" s="54">
        <v>0.59</v>
      </c>
      <c r="AN59" s="54">
        <v>0.56999999999999995</v>
      </c>
      <c r="AO59" s="15">
        <f t="shared" si="30"/>
        <v>0.57999999999999996</v>
      </c>
      <c r="AP59" s="74">
        <f t="shared" si="31"/>
        <v>1.0000000000000009E-2</v>
      </c>
      <c r="AQ59" s="50">
        <v>45957</v>
      </c>
      <c r="AR59" s="41" t="s">
        <v>53</v>
      </c>
      <c r="AS59" s="55"/>
    </row>
    <row r="60" spans="6:45">
      <c r="F60" s="14" t="s">
        <v>51</v>
      </c>
      <c r="G60" s="45">
        <v>12</v>
      </c>
      <c r="H60" s="45" t="s">
        <v>12</v>
      </c>
      <c r="I60" s="45" t="s">
        <v>11</v>
      </c>
      <c r="J60" s="45">
        <v>2</v>
      </c>
      <c r="K60" s="1">
        <v>58</v>
      </c>
      <c r="L60" s="1" t="s">
        <v>57</v>
      </c>
      <c r="M60" s="41">
        <v>20.2</v>
      </c>
      <c r="N60" s="41">
        <v>20.22</v>
      </c>
      <c r="O60" s="41">
        <v>20.190000000000001</v>
      </c>
      <c r="P60" s="69">
        <f t="shared" si="26"/>
        <v>20.203333333333333</v>
      </c>
      <c r="Q60" s="69">
        <f t="shared" si="27"/>
        <v>1.5275252316518365E-2</v>
      </c>
      <c r="R60" s="41">
        <v>10.16</v>
      </c>
      <c r="S60" s="41">
        <v>10.130000000000001</v>
      </c>
      <c r="T60" s="41">
        <v>10.17</v>
      </c>
      <c r="U60" s="69">
        <f t="shared" si="20"/>
        <v>10.153333333333334</v>
      </c>
      <c r="V60" s="69">
        <f t="shared" si="21"/>
        <v>2.0816659994660883E-2</v>
      </c>
      <c r="W60" s="41">
        <v>5.19</v>
      </c>
      <c r="X60" s="41">
        <v>5.18</v>
      </c>
      <c r="Y60" s="41">
        <v>5.19</v>
      </c>
      <c r="Z60" s="69">
        <f t="shared" si="22"/>
        <v>5.1866666666666674</v>
      </c>
      <c r="AA60" s="69">
        <f t="shared" si="23"/>
        <v>5.7735026918966474E-3</v>
      </c>
      <c r="AB60" s="1"/>
      <c r="AC60" s="1"/>
      <c r="AD60" s="1"/>
      <c r="AE60" s="1" t="e">
        <f t="shared" si="32"/>
        <v>#DIV/0!</v>
      </c>
      <c r="AF60" s="1" t="e">
        <f t="shared" si="33"/>
        <v>#DIV/0!</v>
      </c>
      <c r="AG60" s="41">
        <v>28.5</v>
      </c>
      <c r="AH60" s="41">
        <v>28.2</v>
      </c>
      <c r="AI60" s="41">
        <v>28.9</v>
      </c>
      <c r="AJ60" s="69">
        <f t="shared" si="28"/>
        <v>28.533333333333331</v>
      </c>
      <c r="AK60" s="69">
        <f t="shared" si="29"/>
        <v>0.35118845842842422</v>
      </c>
      <c r="AL60" s="54">
        <v>0.57999999999999996</v>
      </c>
      <c r="AM60" s="54">
        <v>0.59</v>
      </c>
      <c r="AN60" s="54">
        <v>0.56999999999999995</v>
      </c>
      <c r="AO60" s="15">
        <f t="shared" si="30"/>
        <v>0.57999999999999996</v>
      </c>
      <c r="AP60" s="74">
        <f t="shared" si="31"/>
        <v>1.0000000000000009E-2</v>
      </c>
      <c r="AQ60" s="50">
        <v>45957</v>
      </c>
      <c r="AR60" s="41" t="s">
        <v>53</v>
      </c>
      <c r="AS60" s="55"/>
    </row>
    <row r="61" spans="6:45">
      <c r="F61" s="14" t="s">
        <v>51</v>
      </c>
      <c r="G61" s="45">
        <v>12</v>
      </c>
      <c r="H61" s="45" t="s">
        <v>12</v>
      </c>
      <c r="I61" s="45" t="s">
        <v>11</v>
      </c>
      <c r="J61" s="45">
        <v>2</v>
      </c>
      <c r="K61" s="1">
        <v>59</v>
      </c>
      <c r="L61" s="1" t="s">
        <v>59</v>
      </c>
      <c r="M61" s="41">
        <v>20.16</v>
      </c>
      <c r="N61" s="41">
        <v>20.16</v>
      </c>
      <c r="O61" s="41">
        <v>20.170000000000002</v>
      </c>
      <c r="P61" s="69">
        <f t="shared" si="26"/>
        <v>20.163333333333334</v>
      </c>
      <c r="Q61" s="69">
        <f t="shared" si="27"/>
        <v>5.77350269189716E-3</v>
      </c>
      <c r="R61" s="41">
        <v>10.16</v>
      </c>
      <c r="S61" s="41">
        <v>10.15</v>
      </c>
      <c r="T61" s="41">
        <v>10.18</v>
      </c>
      <c r="U61" s="69">
        <f t="shared" si="20"/>
        <v>10.163333333333334</v>
      </c>
      <c r="V61" s="69">
        <f t="shared" si="21"/>
        <v>1.527525231651914E-2</v>
      </c>
      <c r="W61" s="41">
        <v>5.18</v>
      </c>
      <c r="X61" s="41">
        <v>5.18</v>
      </c>
      <c r="Y61" s="41">
        <v>5.19</v>
      </c>
      <c r="Z61" s="69">
        <f t="shared" si="22"/>
        <v>5.1833333333333336</v>
      </c>
      <c r="AA61" s="69">
        <f t="shared" si="23"/>
        <v>5.7735026918966474E-3</v>
      </c>
      <c r="AB61" s="1"/>
      <c r="AC61" s="1"/>
      <c r="AD61" s="1"/>
      <c r="AE61" s="1" t="e">
        <f t="shared" si="32"/>
        <v>#DIV/0!</v>
      </c>
      <c r="AF61" s="1" t="e">
        <f t="shared" si="33"/>
        <v>#DIV/0!</v>
      </c>
      <c r="AG61" s="41">
        <v>28.5</v>
      </c>
      <c r="AH61" s="41">
        <v>28.2</v>
      </c>
      <c r="AI61" s="41">
        <v>28.9</v>
      </c>
      <c r="AJ61" s="69">
        <f t="shared" si="28"/>
        <v>28.533333333333331</v>
      </c>
      <c r="AK61" s="69">
        <f t="shared" si="29"/>
        <v>0.35118845842842422</v>
      </c>
      <c r="AL61" s="54">
        <v>0.57999999999999996</v>
      </c>
      <c r="AM61" s="54">
        <v>0.59</v>
      </c>
      <c r="AN61" s="54">
        <v>0.56999999999999995</v>
      </c>
      <c r="AO61" s="15">
        <f t="shared" si="30"/>
        <v>0.57999999999999996</v>
      </c>
      <c r="AP61" s="74">
        <f t="shared" si="31"/>
        <v>1.0000000000000009E-2</v>
      </c>
      <c r="AQ61" s="50">
        <v>45957</v>
      </c>
      <c r="AR61" s="41" t="s">
        <v>53</v>
      </c>
      <c r="AS61" s="55"/>
    </row>
    <row r="62" spans="6:45" ht="15.75" thickBot="1">
      <c r="F62" s="19" t="s">
        <v>51</v>
      </c>
      <c r="G62" s="46">
        <v>12</v>
      </c>
      <c r="H62" s="46" t="s">
        <v>12</v>
      </c>
      <c r="I62" s="46" t="s">
        <v>11</v>
      </c>
      <c r="J62" s="46">
        <v>2</v>
      </c>
      <c r="K62" s="22">
        <v>60</v>
      </c>
      <c r="L62" s="22" t="s">
        <v>60</v>
      </c>
      <c r="M62" s="48">
        <v>20.23</v>
      </c>
      <c r="N62" s="48">
        <v>20.239999999999998</v>
      </c>
      <c r="O62" s="48">
        <v>20.25</v>
      </c>
      <c r="P62" s="70">
        <f t="shared" si="26"/>
        <v>20.239999999999998</v>
      </c>
      <c r="Q62" s="70">
        <f t="shared" si="27"/>
        <v>9.9999999999997868E-3</v>
      </c>
      <c r="R62" s="48">
        <v>10.199999999999999</v>
      </c>
      <c r="S62" s="48">
        <v>10.18</v>
      </c>
      <c r="T62" s="48">
        <v>10.220000000000001</v>
      </c>
      <c r="U62" s="70">
        <f t="shared" si="20"/>
        <v>10.200000000000001</v>
      </c>
      <c r="V62" s="70">
        <f t="shared" si="21"/>
        <v>2.0000000000000462E-2</v>
      </c>
      <c r="W62" s="48">
        <v>5.17</v>
      </c>
      <c r="X62" s="48">
        <v>5.17</v>
      </c>
      <c r="Y62" s="48">
        <v>5.18</v>
      </c>
      <c r="Z62" s="70">
        <f t="shared" si="22"/>
        <v>5.1733333333333329</v>
      </c>
      <c r="AA62" s="70">
        <f t="shared" si="23"/>
        <v>5.7735026918961348E-3</v>
      </c>
      <c r="AB62" s="22"/>
      <c r="AC62" s="22"/>
      <c r="AD62" s="22"/>
      <c r="AE62" s="22" t="e">
        <f t="shared" si="32"/>
        <v>#DIV/0!</v>
      </c>
      <c r="AF62" s="22" t="e">
        <f t="shared" si="33"/>
        <v>#DIV/0!</v>
      </c>
      <c r="AG62" s="48">
        <v>28.5</v>
      </c>
      <c r="AH62" s="48">
        <v>28.2</v>
      </c>
      <c r="AI62" s="48">
        <v>28.9</v>
      </c>
      <c r="AJ62" s="70">
        <f t="shared" si="28"/>
        <v>28.533333333333331</v>
      </c>
      <c r="AK62" s="70">
        <f t="shared" si="29"/>
        <v>0.35118845842842422</v>
      </c>
      <c r="AL62" s="56">
        <v>0.57999999999999996</v>
      </c>
      <c r="AM62" s="56">
        <v>0.59</v>
      </c>
      <c r="AN62" s="56">
        <v>0.56999999999999995</v>
      </c>
      <c r="AO62" s="24">
        <f t="shared" si="30"/>
        <v>0.57999999999999996</v>
      </c>
      <c r="AP62" s="75">
        <f t="shared" si="31"/>
        <v>1.0000000000000009E-2</v>
      </c>
      <c r="AQ62" s="57">
        <v>45957</v>
      </c>
      <c r="AR62" s="48" t="s">
        <v>53</v>
      </c>
      <c r="AS62" s="58"/>
    </row>
    <row r="63" spans="6:45">
      <c r="F63" s="1"/>
      <c r="L63" s="1"/>
    </row>
    <row r="64" spans="6:45">
      <c r="F64" s="1"/>
      <c r="L64" s="1"/>
    </row>
    <row r="65" spans="6:12">
      <c r="F65" s="1"/>
      <c r="L65" s="1"/>
    </row>
    <row r="66" spans="6:12">
      <c r="F66" s="1"/>
      <c r="L66" s="1"/>
    </row>
    <row r="67" spans="6:12">
      <c r="F67" s="1"/>
      <c r="L67" s="1"/>
    </row>
    <row r="68" spans="6:12">
      <c r="F68" s="1"/>
      <c r="L68" s="1"/>
    </row>
    <row r="69" spans="6:12">
      <c r="F69" s="1"/>
      <c r="L69" s="1"/>
    </row>
    <row r="70" spans="6:12">
      <c r="F70" s="1"/>
      <c r="L70" s="1"/>
    </row>
    <row r="71" spans="6:12">
      <c r="F71" s="1"/>
      <c r="L71" s="1"/>
    </row>
    <row r="72" spans="6:12">
      <c r="F72" s="1"/>
      <c r="L72" s="1"/>
    </row>
    <row r="73" spans="6:12">
      <c r="F73" s="1"/>
      <c r="L73" s="1"/>
    </row>
    <row r="74" spans="6:12">
      <c r="F74" s="1"/>
      <c r="L74" s="1"/>
    </row>
    <row r="75" spans="6:12">
      <c r="F75" s="1"/>
      <c r="L75" s="1"/>
    </row>
    <row r="76" spans="6:12">
      <c r="F76" s="1"/>
      <c r="L76" s="1"/>
    </row>
    <row r="77" spans="6:12">
      <c r="F77" s="1"/>
      <c r="L77" s="1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C742-E5CD-4F1C-8D48-65C3E6C20DDF}">
  <dimension ref="B1:AE197"/>
  <sheetViews>
    <sheetView topLeftCell="D1" workbookViewId="0"/>
  </sheetViews>
  <sheetFormatPr defaultColWidth="11.42578125" defaultRowHeight="15"/>
  <cols>
    <col min="2" max="2" width="16.7109375" bestFit="1" customWidth="1"/>
    <col min="6" max="6" width="16.5703125" bestFit="1" customWidth="1"/>
    <col min="7" max="7" width="7.7109375" bestFit="1" customWidth="1"/>
    <col min="8" max="8" width="10.42578125" bestFit="1" customWidth="1"/>
    <col min="9" max="9" width="8.7109375" bestFit="1" customWidth="1"/>
    <col min="10" max="10" width="7.7109375" bestFit="1" customWidth="1"/>
    <col min="11" max="11" width="7.140625" bestFit="1" customWidth="1"/>
    <col min="12" max="12" width="10.42578125" bestFit="1" customWidth="1"/>
    <col min="13" max="13" width="12.7109375" bestFit="1" customWidth="1"/>
    <col min="14" max="18" width="9.140625" bestFit="1" customWidth="1"/>
    <col min="19" max="19" width="7.7109375" customWidth="1"/>
    <col min="20" max="20" width="6.28515625" bestFit="1" customWidth="1"/>
    <col min="21" max="21" width="5.28515625" bestFit="1" customWidth="1"/>
    <col min="22" max="22" width="8" style="99" customWidth="1"/>
    <col min="23" max="23" width="7.7109375" style="99" customWidth="1"/>
    <col min="24" max="24" width="6.85546875" bestFit="1" customWidth="1"/>
    <col min="25" max="25" width="8" bestFit="1" customWidth="1"/>
    <col min="26" max="26" width="7" bestFit="1" customWidth="1"/>
    <col min="27" max="27" width="10.140625" style="81" bestFit="1" customWidth="1"/>
    <col min="28" max="28" width="8.85546875" style="99" bestFit="1" customWidth="1"/>
    <col min="29" max="29" width="11.28515625" bestFit="1" customWidth="1"/>
    <col min="30" max="30" width="14.28515625" customWidth="1"/>
    <col min="31" max="31" width="14.42578125" bestFit="1" customWidth="1"/>
  </cols>
  <sheetData>
    <row r="1" spans="2:31" ht="15.75" thickBot="1"/>
    <row r="2" spans="2:31" ht="30.75" thickBot="1">
      <c r="B2" s="113" t="s">
        <v>13</v>
      </c>
      <c r="C2" s="114"/>
      <c r="D2" s="115"/>
      <c r="F2" s="26" t="s">
        <v>14</v>
      </c>
      <c r="G2" s="27" t="s">
        <v>15</v>
      </c>
      <c r="H2" s="27" t="s">
        <v>4</v>
      </c>
      <c r="I2" s="27" t="s">
        <v>5</v>
      </c>
      <c r="J2" s="27" t="s">
        <v>6</v>
      </c>
      <c r="K2" s="27" t="s">
        <v>16</v>
      </c>
      <c r="L2" s="27" t="s">
        <v>17</v>
      </c>
      <c r="M2" s="27" t="s">
        <v>61</v>
      </c>
      <c r="N2" s="27" t="s">
        <v>62</v>
      </c>
      <c r="O2" s="27" t="s">
        <v>63</v>
      </c>
      <c r="P2" s="27" t="s">
        <v>64</v>
      </c>
      <c r="Q2" s="27" t="s">
        <v>65</v>
      </c>
      <c r="R2" s="27" t="s">
        <v>66</v>
      </c>
      <c r="S2" s="27" t="s">
        <v>67</v>
      </c>
      <c r="T2" s="27" t="s">
        <v>68</v>
      </c>
      <c r="U2" s="27" t="s">
        <v>69</v>
      </c>
      <c r="V2" s="67" t="s">
        <v>70</v>
      </c>
      <c r="W2" s="67" t="s">
        <v>71</v>
      </c>
      <c r="X2" s="27" t="s">
        <v>43</v>
      </c>
      <c r="Y2" s="27" t="s">
        <v>44</v>
      </c>
      <c r="Z2" s="27" t="s">
        <v>45</v>
      </c>
      <c r="AA2" s="28" t="s">
        <v>46</v>
      </c>
      <c r="AB2" s="67" t="s">
        <v>47</v>
      </c>
      <c r="AC2" s="27" t="s">
        <v>48</v>
      </c>
      <c r="AD2" s="27" t="s">
        <v>49</v>
      </c>
      <c r="AE2" s="29" t="s">
        <v>50</v>
      </c>
    </row>
    <row r="3" spans="2:31">
      <c r="B3" s="40"/>
      <c r="C3" s="112" t="s">
        <v>11</v>
      </c>
      <c r="D3" s="112" t="s">
        <v>9</v>
      </c>
      <c r="F3" s="30" t="s">
        <v>72</v>
      </c>
      <c r="G3" s="31">
        <v>1</v>
      </c>
      <c r="H3" s="32" t="s">
        <v>8</v>
      </c>
      <c r="I3" s="32" t="s">
        <v>9</v>
      </c>
      <c r="J3" s="31">
        <v>1</v>
      </c>
      <c r="K3" s="31">
        <v>1</v>
      </c>
      <c r="L3" s="31" t="s">
        <v>52</v>
      </c>
      <c r="M3" s="31" t="s">
        <v>73</v>
      </c>
      <c r="N3" s="31"/>
      <c r="O3" s="31"/>
      <c r="P3" s="31"/>
      <c r="Q3" s="31" t="e">
        <f>AVERAGE(N3:P3)</f>
        <v>#DIV/0!</v>
      </c>
      <c r="R3" s="31" t="e">
        <f>_xlfn.STDEV.S(N3:P3)</f>
        <v>#DIV/0!</v>
      </c>
      <c r="S3" s="31"/>
      <c r="T3" s="31"/>
      <c r="U3" s="31"/>
      <c r="V3" s="68" t="e">
        <f>AVERAGE(S3:U3)</f>
        <v>#DIV/0!</v>
      </c>
      <c r="W3" s="68" t="e">
        <f t="shared" ref="W3:W18" si="0">_xlfn.STDEV.S(S3:U3)</f>
        <v>#DIV/0!</v>
      </c>
      <c r="X3" s="80"/>
      <c r="Y3" s="80"/>
      <c r="Z3" s="31"/>
      <c r="AA3" s="33" t="e">
        <f>AVERAGE(X3:Z3)</f>
        <v>#DIV/0!</v>
      </c>
      <c r="AB3" s="68" t="e">
        <f>_xlfn.STDEV.S(X3:Z3)</f>
        <v>#DIV/0!</v>
      </c>
      <c r="AC3" s="16"/>
      <c r="AD3" s="31" t="s">
        <v>53</v>
      </c>
      <c r="AE3" s="35"/>
    </row>
    <row r="4" spans="2:31">
      <c r="B4" s="112" t="s">
        <v>74</v>
      </c>
      <c r="C4" s="40">
        <v>10</v>
      </c>
      <c r="D4" s="40">
        <v>20</v>
      </c>
      <c r="F4" s="14" t="s">
        <v>72</v>
      </c>
      <c r="G4" s="1">
        <v>1</v>
      </c>
      <c r="H4" s="2" t="s">
        <v>8</v>
      </c>
      <c r="I4" s="2" t="s">
        <v>9</v>
      </c>
      <c r="J4" s="1">
        <v>1</v>
      </c>
      <c r="K4" s="1">
        <v>1</v>
      </c>
      <c r="L4" s="1" t="s">
        <v>52</v>
      </c>
      <c r="M4" s="1" t="s">
        <v>75</v>
      </c>
      <c r="N4" s="1"/>
      <c r="O4" s="1"/>
      <c r="P4" s="1"/>
      <c r="Q4" s="1" t="e">
        <f t="shared" ref="Q4:Q67" si="1">AVERAGE(N4:P4)</f>
        <v>#DIV/0!</v>
      </c>
      <c r="R4" s="1" t="e">
        <f t="shared" ref="R4:R67" si="2">_xlfn.STDEV.S(N4:P4)</f>
        <v>#DIV/0!</v>
      </c>
      <c r="S4" s="1"/>
      <c r="T4" s="1"/>
      <c r="U4" s="1"/>
      <c r="V4" s="69" t="e">
        <f t="shared" ref="V4:V67" si="3">AVERAGE(S4:U4)</f>
        <v>#DIV/0!</v>
      </c>
      <c r="W4" s="69" t="e">
        <f t="shared" si="0"/>
        <v>#DIV/0!</v>
      </c>
      <c r="X4" s="1"/>
      <c r="Y4" s="1"/>
      <c r="Z4" s="1"/>
      <c r="AA4" s="82"/>
      <c r="AB4" s="69"/>
      <c r="AC4" s="16"/>
      <c r="AD4" s="1" t="s">
        <v>53</v>
      </c>
      <c r="AE4" s="17"/>
    </row>
    <row r="5" spans="2:31">
      <c r="B5" s="112" t="s">
        <v>56</v>
      </c>
      <c r="C5" s="40">
        <v>20</v>
      </c>
      <c r="D5" s="40">
        <v>40</v>
      </c>
      <c r="F5" s="14" t="s">
        <v>72</v>
      </c>
      <c r="G5" s="1">
        <v>1</v>
      </c>
      <c r="H5" s="2" t="s">
        <v>8</v>
      </c>
      <c r="I5" s="2" t="s">
        <v>9</v>
      </c>
      <c r="J5" s="1">
        <v>1</v>
      </c>
      <c r="K5" s="1">
        <v>1</v>
      </c>
      <c r="L5" s="1" t="s">
        <v>52</v>
      </c>
      <c r="M5" s="1" t="s">
        <v>76</v>
      </c>
      <c r="N5" s="1"/>
      <c r="O5" s="1"/>
      <c r="P5" s="1"/>
      <c r="Q5" s="1" t="e">
        <f t="shared" si="1"/>
        <v>#DIV/0!</v>
      </c>
      <c r="R5" s="1" t="e">
        <f t="shared" si="2"/>
        <v>#DIV/0!</v>
      </c>
      <c r="S5" s="1"/>
      <c r="T5" s="1"/>
      <c r="U5" s="1"/>
      <c r="V5" s="69" t="e">
        <f t="shared" si="3"/>
        <v>#DIV/0!</v>
      </c>
      <c r="W5" s="69" t="e">
        <f t="shared" si="0"/>
        <v>#DIV/0!</v>
      </c>
      <c r="X5" s="1"/>
      <c r="Y5" s="1"/>
      <c r="Z5" s="1"/>
      <c r="AA5" s="82"/>
      <c r="AB5" s="69"/>
      <c r="AC5" s="16"/>
      <c r="AD5" s="1" t="s">
        <v>53</v>
      </c>
      <c r="AE5" s="17"/>
    </row>
    <row r="6" spans="2:31">
      <c r="B6" s="112" t="s">
        <v>77</v>
      </c>
      <c r="C6" s="40">
        <v>5</v>
      </c>
      <c r="D6" s="40">
        <v>10</v>
      </c>
      <c r="F6" s="14" t="s">
        <v>72</v>
      </c>
      <c r="G6" s="1">
        <v>1</v>
      </c>
      <c r="H6" s="2" t="s">
        <v>8</v>
      </c>
      <c r="I6" s="2" t="s">
        <v>9</v>
      </c>
      <c r="J6" s="1">
        <v>1</v>
      </c>
      <c r="K6" s="1">
        <v>2</v>
      </c>
      <c r="L6" s="1" t="s">
        <v>55</v>
      </c>
      <c r="M6" s="1" t="s">
        <v>73</v>
      </c>
      <c r="N6" s="1"/>
      <c r="O6" s="1"/>
      <c r="P6" s="1"/>
      <c r="Q6" s="1" t="e">
        <f t="shared" si="1"/>
        <v>#DIV/0!</v>
      </c>
      <c r="R6" s="1" t="e">
        <f t="shared" si="2"/>
        <v>#DIV/0!</v>
      </c>
      <c r="S6" s="1"/>
      <c r="T6" s="1"/>
      <c r="U6" s="1"/>
      <c r="V6" s="69" t="e">
        <f t="shared" si="3"/>
        <v>#DIV/0!</v>
      </c>
      <c r="W6" s="69" t="e">
        <f t="shared" si="0"/>
        <v>#DIV/0!</v>
      </c>
      <c r="X6" s="1"/>
      <c r="Y6" s="1"/>
      <c r="Z6" s="1"/>
      <c r="AA6" s="82"/>
      <c r="AB6" s="69"/>
      <c r="AC6" s="16"/>
      <c r="AD6" s="1" t="s">
        <v>53</v>
      </c>
      <c r="AE6" s="17"/>
    </row>
    <row r="7" spans="2:31">
      <c r="F7" s="14" t="s">
        <v>72</v>
      </c>
      <c r="G7" s="1">
        <v>1</v>
      </c>
      <c r="H7" s="2" t="s">
        <v>8</v>
      </c>
      <c r="I7" s="2" t="s">
        <v>9</v>
      </c>
      <c r="J7" s="1">
        <v>1</v>
      </c>
      <c r="K7" s="1">
        <v>2</v>
      </c>
      <c r="L7" s="1" t="s">
        <v>55</v>
      </c>
      <c r="M7" s="1" t="s">
        <v>75</v>
      </c>
      <c r="N7" s="1"/>
      <c r="O7" s="1"/>
      <c r="P7" s="1"/>
      <c r="Q7" s="1" t="e">
        <f t="shared" si="1"/>
        <v>#DIV/0!</v>
      </c>
      <c r="R7" s="1" t="e">
        <f t="shared" si="2"/>
        <v>#DIV/0!</v>
      </c>
      <c r="S7" s="1"/>
      <c r="T7" s="1"/>
      <c r="U7" s="1"/>
      <c r="V7" s="69" t="e">
        <f t="shared" si="3"/>
        <v>#DIV/0!</v>
      </c>
      <c r="W7" s="69" t="e">
        <f t="shared" si="0"/>
        <v>#DIV/0!</v>
      </c>
      <c r="X7" s="1"/>
      <c r="Y7" s="1"/>
      <c r="Z7" s="1"/>
      <c r="AA7" s="82"/>
      <c r="AB7" s="69"/>
      <c r="AC7" s="16"/>
      <c r="AD7" s="1" t="s">
        <v>53</v>
      </c>
      <c r="AE7" s="17"/>
    </row>
    <row r="8" spans="2:31">
      <c r="F8" s="14" t="s">
        <v>72</v>
      </c>
      <c r="G8" s="1">
        <v>1</v>
      </c>
      <c r="H8" s="2" t="s">
        <v>8</v>
      </c>
      <c r="I8" s="2" t="s">
        <v>9</v>
      </c>
      <c r="J8" s="1">
        <v>1</v>
      </c>
      <c r="K8" s="1">
        <v>2</v>
      </c>
      <c r="L8" s="1" t="s">
        <v>55</v>
      </c>
      <c r="M8" s="1" t="s">
        <v>76</v>
      </c>
      <c r="N8" s="1"/>
      <c r="O8" s="1"/>
      <c r="P8" s="1"/>
      <c r="Q8" s="1" t="e">
        <f t="shared" si="1"/>
        <v>#DIV/0!</v>
      </c>
      <c r="R8" s="1" t="e">
        <f t="shared" si="2"/>
        <v>#DIV/0!</v>
      </c>
      <c r="S8" s="1"/>
      <c r="T8" s="1"/>
      <c r="U8" s="1"/>
      <c r="V8" s="69" t="e">
        <f t="shared" si="3"/>
        <v>#DIV/0!</v>
      </c>
      <c r="W8" s="69" t="e">
        <f t="shared" si="0"/>
        <v>#DIV/0!</v>
      </c>
      <c r="X8" s="1"/>
      <c r="Y8" s="1"/>
      <c r="Z8" s="1"/>
      <c r="AA8" s="82"/>
      <c r="AB8" s="69"/>
      <c r="AC8" s="16"/>
      <c r="AD8" s="1" t="s">
        <v>53</v>
      </c>
      <c r="AE8" s="17"/>
    </row>
    <row r="9" spans="2:31">
      <c r="F9" s="14" t="s">
        <v>72</v>
      </c>
      <c r="G9" s="1">
        <v>1</v>
      </c>
      <c r="H9" s="2" t="s">
        <v>8</v>
      </c>
      <c r="I9" s="2" t="s">
        <v>9</v>
      </c>
      <c r="J9" s="1">
        <v>1</v>
      </c>
      <c r="K9" s="1">
        <v>3</v>
      </c>
      <c r="L9" s="1" t="s">
        <v>57</v>
      </c>
      <c r="M9" s="1" t="s">
        <v>73</v>
      </c>
      <c r="N9" s="1"/>
      <c r="O9" s="1"/>
      <c r="P9" s="1"/>
      <c r="Q9" s="1" t="e">
        <f t="shared" si="1"/>
        <v>#DIV/0!</v>
      </c>
      <c r="R9" s="1" t="e">
        <f t="shared" si="2"/>
        <v>#DIV/0!</v>
      </c>
      <c r="S9" s="1"/>
      <c r="T9" s="1"/>
      <c r="U9" s="1"/>
      <c r="V9" s="69" t="e">
        <f t="shared" si="3"/>
        <v>#DIV/0!</v>
      </c>
      <c r="W9" s="69" t="e">
        <f t="shared" si="0"/>
        <v>#DIV/0!</v>
      </c>
      <c r="X9" s="1"/>
      <c r="Y9" s="1"/>
      <c r="Z9" s="1"/>
      <c r="AA9" s="82"/>
      <c r="AB9" s="69"/>
      <c r="AC9" s="16"/>
      <c r="AD9" s="1" t="s">
        <v>53</v>
      </c>
      <c r="AE9" s="17"/>
    </row>
    <row r="10" spans="2:31">
      <c r="F10" s="14" t="s">
        <v>72</v>
      </c>
      <c r="G10" s="1">
        <v>1</v>
      </c>
      <c r="H10" s="2" t="s">
        <v>8</v>
      </c>
      <c r="I10" s="2" t="s">
        <v>9</v>
      </c>
      <c r="J10" s="1">
        <v>1</v>
      </c>
      <c r="K10" s="1">
        <v>3</v>
      </c>
      <c r="L10" s="1" t="s">
        <v>57</v>
      </c>
      <c r="M10" s="1" t="s">
        <v>75</v>
      </c>
      <c r="N10" s="1"/>
      <c r="O10" s="1"/>
      <c r="P10" s="1"/>
      <c r="Q10" s="1" t="e">
        <f t="shared" si="1"/>
        <v>#DIV/0!</v>
      </c>
      <c r="R10" s="1" t="e">
        <f t="shared" si="2"/>
        <v>#DIV/0!</v>
      </c>
      <c r="S10" s="1"/>
      <c r="T10" s="1"/>
      <c r="U10" s="1"/>
      <c r="V10" s="69" t="e">
        <f t="shared" si="3"/>
        <v>#DIV/0!</v>
      </c>
      <c r="W10" s="69" t="e">
        <f t="shared" si="0"/>
        <v>#DIV/0!</v>
      </c>
      <c r="X10" s="1"/>
      <c r="Y10" s="1"/>
      <c r="Z10" s="1"/>
      <c r="AA10" s="82"/>
      <c r="AB10" s="69"/>
      <c r="AC10" s="16"/>
      <c r="AD10" s="1" t="s">
        <v>53</v>
      </c>
      <c r="AE10" s="17"/>
    </row>
    <row r="11" spans="2:31">
      <c r="F11" s="14" t="s">
        <v>72</v>
      </c>
      <c r="G11" s="1">
        <v>1</v>
      </c>
      <c r="H11" s="2" t="s">
        <v>8</v>
      </c>
      <c r="I11" s="2" t="s">
        <v>9</v>
      </c>
      <c r="J11" s="1">
        <v>1</v>
      </c>
      <c r="K11" s="1">
        <v>3</v>
      </c>
      <c r="L11" s="1" t="s">
        <v>57</v>
      </c>
      <c r="M11" s="1" t="s">
        <v>76</v>
      </c>
      <c r="N11" s="1"/>
      <c r="O11" s="1"/>
      <c r="P11" s="1"/>
      <c r="Q11" s="1" t="e">
        <f t="shared" si="1"/>
        <v>#DIV/0!</v>
      </c>
      <c r="R11" s="1" t="e">
        <f t="shared" si="2"/>
        <v>#DIV/0!</v>
      </c>
      <c r="S11" s="1"/>
      <c r="T11" s="1"/>
      <c r="U11" s="1"/>
      <c r="V11" s="69" t="e">
        <f t="shared" si="3"/>
        <v>#DIV/0!</v>
      </c>
      <c r="W11" s="69" t="e">
        <f t="shared" si="0"/>
        <v>#DIV/0!</v>
      </c>
      <c r="X11" s="1"/>
      <c r="Y11" s="1"/>
      <c r="Z11" s="1"/>
      <c r="AA11" s="82"/>
      <c r="AB11" s="69"/>
      <c r="AC11" s="16"/>
      <c r="AD11" s="1" t="s">
        <v>53</v>
      </c>
      <c r="AE11" s="17"/>
    </row>
    <row r="12" spans="2:31">
      <c r="F12" s="14" t="s">
        <v>72</v>
      </c>
      <c r="G12" s="1">
        <v>1</v>
      </c>
      <c r="H12" s="2" t="s">
        <v>8</v>
      </c>
      <c r="I12" s="2" t="s">
        <v>9</v>
      </c>
      <c r="J12" s="1">
        <v>1</v>
      </c>
      <c r="K12" s="1">
        <v>4</v>
      </c>
      <c r="L12" s="1" t="s">
        <v>59</v>
      </c>
      <c r="M12" s="1" t="s">
        <v>73</v>
      </c>
      <c r="N12" s="1"/>
      <c r="O12" s="1"/>
      <c r="P12" s="1"/>
      <c r="Q12" s="1" t="e">
        <f t="shared" si="1"/>
        <v>#DIV/0!</v>
      </c>
      <c r="R12" s="1" t="e">
        <f t="shared" si="2"/>
        <v>#DIV/0!</v>
      </c>
      <c r="S12" s="1"/>
      <c r="T12" s="1"/>
      <c r="U12" s="1"/>
      <c r="V12" s="69" t="e">
        <f t="shared" si="3"/>
        <v>#DIV/0!</v>
      </c>
      <c r="W12" s="69" t="e">
        <f t="shared" si="0"/>
        <v>#DIV/0!</v>
      </c>
      <c r="X12" s="1"/>
      <c r="Y12" s="1"/>
      <c r="Z12" s="1"/>
      <c r="AA12" s="82"/>
      <c r="AB12" s="69"/>
      <c r="AC12" s="16"/>
      <c r="AD12" s="1" t="s">
        <v>53</v>
      </c>
      <c r="AE12" s="17"/>
    </row>
    <row r="13" spans="2:31">
      <c r="F13" s="14" t="s">
        <v>72</v>
      </c>
      <c r="G13" s="1">
        <v>1</v>
      </c>
      <c r="H13" s="2" t="s">
        <v>8</v>
      </c>
      <c r="I13" s="2" t="s">
        <v>9</v>
      </c>
      <c r="J13" s="1">
        <v>1</v>
      </c>
      <c r="K13" s="1">
        <v>4</v>
      </c>
      <c r="L13" s="1" t="s">
        <v>59</v>
      </c>
      <c r="M13" s="1" t="s">
        <v>75</v>
      </c>
      <c r="N13" s="1"/>
      <c r="O13" s="1"/>
      <c r="P13" s="1"/>
      <c r="Q13" s="1" t="e">
        <f t="shared" si="1"/>
        <v>#DIV/0!</v>
      </c>
      <c r="R13" s="1" t="e">
        <f t="shared" si="2"/>
        <v>#DIV/0!</v>
      </c>
      <c r="S13" s="1"/>
      <c r="T13" s="1"/>
      <c r="U13" s="1"/>
      <c r="V13" s="69" t="e">
        <f t="shared" si="3"/>
        <v>#DIV/0!</v>
      </c>
      <c r="W13" s="69" t="e">
        <f t="shared" si="0"/>
        <v>#DIV/0!</v>
      </c>
      <c r="X13" s="1"/>
      <c r="Y13" s="1"/>
      <c r="Z13" s="1"/>
      <c r="AA13" s="82"/>
      <c r="AB13" s="69"/>
      <c r="AC13" s="16"/>
      <c r="AD13" s="1" t="s">
        <v>53</v>
      </c>
      <c r="AE13" s="17"/>
    </row>
    <row r="14" spans="2:31">
      <c r="F14" s="14" t="s">
        <v>72</v>
      </c>
      <c r="G14" s="1">
        <v>1</v>
      </c>
      <c r="H14" s="2" t="s">
        <v>8</v>
      </c>
      <c r="I14" s="2" t="s">
        <v>9</v>
      </c>
      <c r="J14" s="1">
        <v>1</v>
      </c>
      <c r="K14" s="1">
        <v>4</v>
      </c>
      <c r="L14" s="1" t="s">
        <v>59</v>
      </c>
      <c r="M14" s="1" t="s">
        <v>76</v>
      </c>
      <c r="N14" s="1"/>
      <c r="O14" s="1"/>
      <c r="P14" s="1"/>
      <c r="Q14" s="1" t="e">
        <f t="shared" si="1"/>
        <v>#DIV/0!</v>
      </c>
      <c r="R14" s="1" t="e">
        <f t="shared" si="2"/>
        <v>#DIV/0!</v>
      </c>
      <c r="S14" s="1"/>
      <c r="T14" s="1"/>
      <c r="U14" s="1"/>
      <c r="V14" s="69" t="e">
        <f t="shared" si="3"/>
        <v>#DIV/0!</v>
      </c>
      <c r="W14" s="69" t="e">
        <f t="shared" si="0"/>
        <v>#DIV/0!</v>
      </c>
      <c r="X14" s="1"/>
      <c r="Y14" s="1"/>
      <c r="Z14" s="1"/>
      <c r="AA14" s="82"/>
      <c r="AB14" s="69"/>
      <c r="AC14" s="16"/>
      <c r="AD14" s="1" t="s">
        <v>53</v>
      </c>
      <c r="AE14" s="17"/>
    </row>
    <row r="15" spans="2:31">
      <c r="F15" s="14" t="s">
        <v>72</v>
      </c>
      <c r="G15" s="1">
        <v>1</v>
      </c>
      <c r="H15" s="2" t="s">
        <v>8</v>
      </c>
      <c r="I15" s="2" t="s">
        <v>9</v>
      </c>
      <c r="J15" s="1">
        <v>1</v>
      </c>
      <c r="K15" s="1">
        <v>5</v>
      </c>
      <c r="L15" s="1" t="s">
        <v>60</v>
      </c>
      <c r="M15" s="1" t="s">
        <v>73</v>
      </c>
      <c r="N15" s="1"/>
      <c r="O15" s="1"/>
      <c r="P15" s="1"/>
      <c r="Q15" s="1" t="e">
        <f t="shared" si="1"/>
        <v>#DIV/0!</v>
      </c>
      <c r="R15" s="1" t="e">
        <f t="shared" si="2"/>
        <v>#DIV/0!</v>
      </c>
      <c r="S15" s="1"/>
      <c r="T15" s="1"/>
      <c r="U15" s="1"/>
      <c r="V15" s="69" t="e">
        <f t="shared" si="3"/>
        <v>#DIV/0!</v>
      </c>
      <c r="W15" s="69" t="e">
        <f t="shared" si="0"/>
        <v>#DIV/0!</v>
      </c>
      <c r="X15" s="1"/>
      <c r="Y15" s="1"/>
      <c r="Z15" s="1"/>
      <c r="AA15" s="82"/>
      <c r="AB15" s="69"/>
      <c r="AC15" s="16"/>
      <c r="AD15" s="1" t="s">
        <v>53</v>
      </c>
      <c r="AE15" s="17"/>
    </row>
    <row r="16" spans="2:31">
      <c r="F16" s="14" t="s">
        <v>72</v>
      </c>
      <c r="G16" s="1">
        <v>1</v>
      </c>
      <c r="H16" s="2" t="s">
        <v>8</v>
      </c>
      <c r="I16" s="2" t="s">
        <v>9</v>
      </c>
      <c r="J16" s="1">
        <v>1</v>
      </c>
      <c r="K16" s="1">
        <v>5</v>
      </c>
      <c r="L16" s="1" t="s">
        <v>60</v>
      </c>
      <c r="M16" s="1" t="s">
        <v>75</v>
      </c>
      <c r="N16" s="1"/>
      <c r="O16" s="1"/>
      <c r="P16" s="1"/>
      <c r="Q16" s="1" t="e">
        <f t="shared" si="1"/>
        <v>#DIV/0!</v>
      </c>
      <c r="R16" s="1" t="e">
        <f t="shared" si="2"/>
        <v>#DIV/0!</v>
      </c>
      <c r="S16" s="1"/>
      <c r="T16" s="1"/>
      <c r="U16" s="1"/>
      <c r="V16" s="69" t="e">
        <f t="shared" si="3"/>
        <v>#DIV/0!</v>
      </c>
      <c r="W16" s="69" t="e">
        <f t="shared" si="0"/>
        <v>#DIV/0!</v>
      </c>
      <c r="X16" s="1"/>
      <c r="Y16" s="1"/>
      <c r="Z16" s="1"/>
      <c r="AA16" s="82"/>
      <c r="AB16" s="69"/>
      <c r="AC16" s="16"/>
      <c r="AD16" s="1" t="s">
        <v>53</v>
      </c>
      <c r="AE16" s="17"/>
    </row>
    <row r="17" spans="6:31" ht="15.75" thickBot="1">
      <c r="F17" s="19" t="s">
        <v>72</v>
      </c>
      <c r="G17" s="22">
        <v>1</v>
      </c>
      <c r="H17" s="20" t="s">
        <v>8</v>
      </c>
      <c r="I17" s="20" t="s">
        <v>9</v>
      </c>
      <c r="J17" s="22">
        <v>1</v>
      </c>
      <c r="K17" s="22">
        <v>5</v>
      </c>
      <c r="L17" s="22" t="s">
        <v>60</v>
      </c>
      <c r="M17" s="22" t="s">
        <v>76</v>
      </c>
      <c r="N17" s="22"/>
      <c r="O17" s="22"/>
      <c r="P17" s="22"/>
      <c r="Q17" s="22" t="e">
        <f t="shared" si="1"/>
        <v>#DIV/0!</v>
      </c>
      <c r="R17" s="22" t="e">
        <f t="shared" si="2"/>
        <v>#DIV/0!</v>
      </c>
      <c r="S17" s="22"/>
      <c r="T17" s="22"/>
      <c r="U17" s="22"/>
      <c r="V17" s="70" t="e">
        <f t="shared" si="3"/>
        <v>#DIV/0!</v>
      </c>
      <c r="W17" s="70" t="e">
        <f t="shared" si="0"/>
        <v>#DIV/0!</v>
      </c>
      <c r="X17" s="22"/>
      <c r="Y17" s="22"/>
      <c r="Z17" s="22"/>
      <c r="AA17" s="24"/>
      <c r="AB17" s="70"/>
      <c r="AC17" s="16"/>
      <c r="AD17" s="22" t="s">
        <v>53</v>
      </c>
      <c r="AE17" s="36"/>
    </row>
    <row r="18" spans="6:31">
      <c r="F18" s="30" t="s">
        <v>72</v>
      </c>
      <c r="G18" s="32">
        <v>2</v>
      </c>
      <c r="H18" s="32" t="s">
        <v>10</v>
      </c>
      <c r="I18" s="32" t="s">
        <v>11</v>
      </c>
      <c r="J18" s="32">
        <v>1</v>
      </c>
      <c r="K18" s="31">
        <v>6</v>
      </c>
      <c r="L18" s="31" t="s">
        <v>52</v>
      </c>
      <c r="M18" s="31" t="s">
        <v>73</v>
      </c>
      <c r="N18" s="37"/>
      <c r="O18" s="37"/>
      <c r="P18" s="37"/>
      <c r="Q18" s="37" t="e">
        <f t="shared" si="1"/>
        <v>#DIV/0!</v>
      </c>
      <c r="R18" s="37" t="e">
        <f t="shared" si="2"/>
        <v>#DIV/0!</v>
      </c>
      <c r="S18" s="37"/>
      <c r="T18" s="37"/>
      <c r="U18" s="37"/>
      <c r="V18" s="100" t="e">
        <f t="shared" si="3"/>
        <v>#DIV/0!</v>
      </c>
      <c r="W18" s="100" t="e">
        <f t="shared" si="0"/>
        <v>#DIV/0!</v>
      </c>
      <c r="X18" s="37"/>
      <c r="Y18" s="37"/>
      <c r="Z18" s="37"/>
      <c r="AA18" s="83"/>
      <c r="AB18" s="100"/>
      <c r="AC18" s="37"/>
      <c r="AD18" s="37"/>
      <c r="AE18" s="38"/>
    </row>
    <row r="19" spans="6:31">
      <c r="F19" s="14" t="s">
        <v>72</v>
      </c>
      <c r="G19" s="2">
        <v>2</v>
      </c>
      <c r="H19" s="2" t="s">
        <v>10</v>
      </c>
      <c r="I19" s="2" t="s">
        <v>11</v>
      </c>
      <c r="J19" s="2">
        <v>1</v>
      </c>
      <c r="K19" s="1">
        <v>6</v>
      </c>
      <c r="L19" s="1" t="s">
        <v>52</v>
      </c>
      <c r="M19" s="1" t="s">
        <v>75</v>
      </c>
      <c r="Q19" t="e">
        <f t="shared" si="1"/>
        <v>#DIV/0!</v>
      </c>
      <c r="R19" t="e">
        <f t="shared" si="2"/>
        <v>#DIV/0!</v>
      </c>
      <c r="V19" s="99" t="e">
        <f t="shared" si="3"/>
        <v>#DIV/0!</v>
      </c>
      <c r="W19" s="99" t="e">
        <f t="shared" ref="W19:W82" si="4">_xlfn.STDEV.S(S19:U19)</f>
        <v>#DIV/0!</v>
      </c>
      <c r="AE19" s="18"/>
    </row>
    <row r="20" spans="6:31">
      <c r="F20" s="14" t="s">
        <v>72</v>
      </c>
      <c r="G20" s="2">
        <v>2</v>
      </c>
      <c r="H20" s="2" t="s">
        <v>10</v>
      </c>
      <c r="I20" s="2" t="s">
        <v>11</v>
      </c>
      <c r="J20" s="2">
        <v>1</v>
      </c>
      <c r="K20" s="1">
        <v>6</v>
      </c>
      <c r="L20" s="1" t="s">
        <v>52</v>
      </c>
      <c r="M20" s="1" t="s">
        <v>76</v>
      </c>
      <c r="Q20" t="e">
        <f t="shared" si="1"/>
        <v>#DIV/0!</v>
      </c>
      <c r="R20" t="e">
        <f t="shared" si="2"/>
        <v>#DIV/0!</v>
      </c>
      <c r="V20" s="99" t="e">
        <f t="shared" si="3"/>
        <v>#DIV/0!</v>
      </c>
      <c r="W20" s="99" t="e">
        <f t="shared" si="4"/>
        <v>#DIV/0!</v>
      </c>
      <c r="AE20" s="18"/>
    </row>
    <row r="21" spans="6:31">
      <c r="F21" s="14" t="s">
        <v>72</v>
      </c>
      <c r="G21" s="2">
        <v>2</v>
      </c>
      <c r="H21" s="2" t="s">
        <v>10</v>
      </c>
      <c r="I21" s="2" t="s">
        <v>11</v>
      </c>
      <c r="J21" s="2">
        <v>1</v>
      </c>
      <c r="K21" s="1">
        <v>7</v>
      </c>
      <c r="L21" s="1" t="s">
        <v>55</v>
      </c>
      <c r="M21" s="1" t="s">
        <v>73</v>
      </c>
      <c r="Q21" t="e">
        <f t="shared" si="1"/>
        <v>#DIV/0!</v>
      </c>
      <c r="R21" t="e">
        <f t="shared" si="2"/>
        <v>#DIV/0!</v>
      </c>
      <c r="V21" s="99" t="e">
        <f t="shared" si="3"/>
        <v>#DIV/0!</v>
      </c>
      <c r="W21" s="99" t="e">
        <f t="shared" si="4"/>
        <v>#DIV/0!</v>
      </c>
      <c r="AE21" s="18"/>
    </row>
    <row r="22" spans="6:31">
      <c r="F22" s="14" t="s">
        <v>72</v>
      </c>
      <c r="G22" s="2">
        <v>2</v>
      </c>
      <c r="H22" s="2" t="s">
        <v>10</v>
      </c>
      <c r="I22" s="2" t="s">
        <v>11</v>
      </c>
      <c r="J22" s="2">
        <v>1</v>
      </c>
      <c r="K22" s="1">
        <v>7</v>
      </c>
      <c r="L22" s="1" t="s">
        <v>55</v>
      </c>
      <c r="M22" s="1" t="s">
        <v>75</v>
      </c>
      <c r="Q22" t="e">
        <f t="shared" si="1"/>
        <v>#DIV/0!</v>
      </c>
      <c r="R22" t="e">
        <f t="shared" si="2"/>
        <v>#DIV/0!</v>
      </c>
      <c r="V22" s="99" t="e">
        <f t="shared" si="3"/>
        <v>#DIV/0!</v>
      </c>
      <c r="W22" s="99" t="e">
        <f t="shared" si="4"/>
        <v>#DIV/0!</v>
      </c>
      <c r="AE22" s="18"/>
    </row>
    <row r="23" spans="6:31">
      <c r="F23" s="14" t="s">
        <v>72</v>
      </c>
      <c r="G23" s="2">
        <v>2</v>
      </c>
      <c r="H23" s="2" t="s">
        <v>10</v>
      </c>
      <c r="I23" s="2" t="s">
        <v>11</v>
      </c>
      <c r="J23" s="2">
        <v>1</v>
      </c>
      <c r="K23" s="1">
        <v>7</v>
      </c>
      <c r="L23" s="1" t="s">
        <v>55</v>
      </c>
      <c r="M23" s="1" t="s">
        <v>76</v>
      </c>
      <c r="Q23" t="e">
        <f t="shared" si="1"/>
        <v>#DIV/0!</v>
      </c>
      <c r="R23" t="e">
        <f t="shared" si="2"/>
        <v>#DIV/0!</v>
      </c>
      <c r="V23" s="99" t="e">
        <f t="shared" si="3"/>
        <v>#DIV/0!</v>
      </c>
      <c r="W23" s="99" t="e">
        <f t="shared" si="4"/>
        <v>#DIV/0!</v>
      </c>
      <c r="AE23" s="18"/>
    </row>
    <row r="24" spans="6:31">
      <c r="F24" s="14" t="s">
        <v>72</v>
      </c>
      <c r="G24" s="2">
        <v>2</v>
      </c>
      <c r="H24" s="2" t="s">
        <v>10</v>
      </c>
      <c r="I24" s="2" t="s">
        <v>11</v>
      </c>
      <c r="J24" s="2">
        <v>1</v>
      </c>
      <c r="K24" s="1">
        <v>8</v>
      </c>
      <c r="L24" s="1" t="s">
        <v>57</v>
      </c>
      <c r="M24" s="1" t="s">
        <v>73</v>
      </c>
      <c r="Q24" t="e">
        <f t="shared" si="1"/>
        <v>#DIV/0!</v>
      </c>
      <c r="R24" t="e">
        <f t="shared" si="2"/>
        <v>#DIV/0!</v>
      </c>
      <c r="V24" s="99" t="e">
        <f t="shared" si="3"/>
        <v>#DIV/0!</v>
      </c>
      <c r="W24" s="99" t="e">
        <f t="shared" si="4"/>
        <v>#DIV/0!</v>
      </c>
      <c r="AE24" s="18"/>
    </row>
    <row r="25" spans="6:31">
      <c r="F25" s="14" t="s">
        <v>72</v>
      </c>
      <c r="G25" s="2">
        <v>2</v>
      </c>
      <c r="H25" s="2" t="s">
        <v>10</v>
      </c>
      <c r="I25" s="2" t="s">
        <v>11</v>
      </c>
      <c r="J25" s="2">
        <v>1</v>
      </c>
      <c r="K25" s="1">
        <v>8</v>
      </c>
      <c r="L25" s="1" t="s">
        <v>57</v>
      </c>
      <c r="M25" s="1" t="s">
        <v>75</v>
      </c>
      <c r="Q25" t="e">
        <f t="shared" si="1"/>
        <v>#DIV/0!</v>
      </c>
      <c r="R25" t="e">
        <f t="shared" si="2"/>
        <v>#DIV/0!</v>
      </c>
      <c r="V25" s="99" t="e">
        <f t="shared" si="3"/>
        <v>#DIV/0!</v>
      </c>
      <c r="W25" s="99" t="e">
        <f t="shared" si="4"/>
        <v>#DIV/0!</v>
      </c>
      <c r="AE25" s="18"/>
    </row>
    <row r="26" spans="6:31">
      <c r="F26" s="14" t="s">
        <v>72</v>
      </c>
      <c r="G26" s="2">
        <v>2</v>
      </c>
      <c r="H26" s="2" t="s">
        <v>10</v>
      </c>
      <c r="I26" s="2" t="s">
        <v>11</v>
      </c>
      <c r="J26" s="2">
        <v>1</v>
      </c>
      <c r="K26" s="1">
        <v>8</v>
      </c>
      <c r="L26" s="1" t="s">
        <v>57</v>
      </c>
      <c r="M26" s="1" t="s">
        <v>76</v>
      </c>
      <c r="Q26" t="e">
        <f t="shared" si="1"/>
        <v>#DIV/0!</v>
      </c>
      <c r="R26" t="e">
        <f t="shared" si="2"/>
        <v>#DIV/0!</v>
      </c>
      <c r="V26" s="99" t="e">
        <f t="shared" si="3"/>
        <v>#DIV/0!</v>
      </c>
      <c r="W26" s="99" t="e">
        <f t="shared" si="4"/>
        <v>#DIV/0!</v>
      </c>
      <c r="AE26" s="18"/>
    </row>
    <row r="27" spans="6:31">
      <c r="F27" s="14" t="s">
        <v>72</v>
      </c>
      <c r="G27" s="2">
        <v>2</v>
      </c>
      <c r="H27" s="2" t="s">
        <v>10</v>
      </c>
      <c r="I27" s="2" t="s">
        <v>11</v>
      </c>
      <c r="J27" s="2">
        <v>1</v>
      </c>
      <c r="K27" s="1">
        <v>9</v>
      </c>
      <c r="L27" s="1" t="s">
        <v>59</v>
      </c>
      <c r="M27" s="1" t="s">
        <v>73</v>
      </c>
      <c r="Q27" t="e">
        <f t="shared" si="1"/>
        <v>#DIV/0!</v>
      </c>
      <c r="R27" t="e">
        <f t="shared" si="2"/>
        <v>#DIV/0!</v>
      </c>
      <c r="V27" s="99" t="e">
        <f t="shared" si="3"/>
        <v>#DIV/0!</v>
      </c>
      <c r="W27" s="99" t="e">
        <f t="shared" si="4"/>
        <v>#DIV/0!</v>
      </c>
      <c r="AE27" s="18"/>
    </row>
    <row r="28" spans="6:31">
      <c r="F28" s="14" t="s">
        <v>72</v>
      </c>
      <c r="G28" s="2">
        <v>2</v>
      </c>
      <c r="H28" s="2" t="s">
        <v>10</v>
      </c>
      <c r="I28" s="2" t="s">
        <v>11</v>
      </c>
      <c r="J28" s="2">
        <v>1</v>
      </c>
      <c r="K28" s="1">
        <v>9</v>
      </c>
      <c r="L28" s="1" t="s">
        <v>59</v>
      </c>
      <c r="M28" s="1" t="s">
        <v>75</v>
      </c>
      <c r="Q28" t="e">
        <f t="shared" si="1"/>
        <v>#DIV/0!</v>
      </c>
      <c r="R28" t="e">
        <f t="shared" si="2"/>
        <v>#DIV/0!</v>
      </c>
      <c r="V28" s="99" t="e">
        <f t="shared" si="3"/>
        <v>#DIV/0!</v>
      </c>
      <c r="W28" s="99" t="e">
        <f t="shared" si="4"/>
        <v>#DIV/0!</v>
      </c>
      <c r="AE28" s="18"/>
    </row>
    <row r="29" spans="6:31">
      <c r="F29" s="14" t="s">
        <v>72</v>
      </c>
      <c r="G29" s="2">
        <v>2</v>
      </c>
      <c r="H29" s="2" t="s">
        <v>10</v>
      </c>
      <c r="I29" s="2" t="s">
        <v>11</v>
      </c>
      <c r="J29" s="2">
        <v>1</v>
      </c>
      <c r="K29" s="1">
        <v>9</v>
      </c>
      <c r="L29" s="1" t="s">
        <v>59</v>
      </c>
      <c r="M29" s="1" t="s">
        <v>76</v>
      </c>
      <c r="Q29" t="e">
        <f t="shared" si="1"/>
        <v>#DIV/0!</v>
      </c>
      <c r="R29" t="e">
        <f t="shared" si="2"/>
        <v>#DIV/0!</v>
      </c>
      <c r="V29" s="99" t="e">
        <f t="shared" si="3"/>
        <v>#DIV/0!</v>
      </c>
      <c r="W29" s="99" t="e">
        <f t="shared" si="4"/>
        <v>#DIV/0!</v>
      </c>
      <c r="AE29" s="18"/>
    </row>
    <row r="30" spans="6:31">
      <c r="F30" s="14" t="s">
        <v>72</v>
      </c>
      <c r="G30" s="2">
        <v>2</v>
      </c>
      <c r="H30" s="2" t="s">
        <v>10</v>
      </c>
      <c r="I30" s="2" t="s">
        <v>11</v>
      </c>
      <c r="J30" s="2">
        <v>1</v>
      </c>
      <c r="K30" s="1">
        <v>10</v>
      </c>
      <c r="L30" s="1" t="s">
        <v>60</v>
      </c>
      <c r="M30" s="1" t="s">
        <v>73</v>
      </c>
      <c r="Q30" t="e">
        <f t="shared" si="1"/>
        <v>#DIV/0!</v>
      </c>
      <c r="R30" t="e">
        <f t="shared" si="2"/>
        <v>#DIV/0!</v>
      </c>
      <c r="V30" s="99" t="e">
        <f t="shared" si="3"/>
        <v>#DIV/0!</v>
      </c>
      <c r="W30" s="99" t="e">
        <f t="shared" si="4"/>
        <v>#DIV/0!</v>
      </c>
      <c r="AE30" s="18"/>
    </row>
    <row r="31" spans="6:31">
      <c r="F31" s="14" t="s">
        <v>72</v>
      </c>
      <c r="G31" s="2">
        <v>2</v>
      </c>
      <c r="H31" s="2" t="s">
        <v>10</v>
      </c>
      <c r="I31" s="2" t="s">
        <v>11</v>
      </c>
      <c r="J31" s="2">
        <v>1</v>
      </c>
      <c r="K31" s="1">
        <v>10</v>
      </c>
      <c r="L31" s="1" t="s">
        <v>60</v>
      </c>
      <c r="M31" s="1" t="s">
        <v>75</v>
      </c>
      <c r="Q31" t="e">
        <f t="shared" si="1"/>
        <v>#DIV/0!</v>
      </c>
      <c r="R31" t="e">
        <f t="shared" si="2"/>
        <v>#DIV/0!</v>
      </c>
      <c r="V31" s="99" t="e">
        <f t="shared" si="3"/>
        <v>#DIV/0!</v>
      </c>
      <c r="W31" s="99" t="e">
        <f t="shared" si="4"/>
        <v>#DIV/0!</v>
      </c>
      <c r="AE31" s="18"/>
    </row>
    <row r="32" spans="6:31" ht="15.75" thickBot="1">
      <c r="F32" s="19" t="s">
        <v>72</v>
      </c>
      <c r="G32" s="20">
        <v>2</v>
      </c>
      <c r="H32" s="20" t="s">
        <v>10</v>
      </c>
      <c r="I32" s="20" t="s">
        <v>11</v>
      </c>
      <c r="J32" s="20">
        <v>1</v>
      </c>
      <c r="K32" s="22">
        <v>10</v>
      </c>
      <c r="L32" s="22" t="s">
        <v>60</v>
      </c>
      <c r="M32" s="22" t="s">
        <v>76</v>
      </c>
      <c r="N32" s="23"/>
      <c r="O32" s="23"/>
      <c r="P32" s="23"/>
      <c r="Q32" s="23" t="e">
        <f t="shared" si="1"/>
        <v>#DIV/0!</v>
      </c>
      <c r="R32" s="23" t="e">
        <f t="shared" si="2"/>
        <v>#DIV/0!</v>
      </c>
      <c r="S32" s="23"/>
      <c r="T32" s="23"/>
      <c r="U32" s="23"/>
      <c r="V32" s="101" t="e">
        <f t="shared" si="3"/>
        <v>#DIV/0!</v>
      </c>
      <c r="W32" s="101" t="e">
        <f t="shared" si="4"/>
        <v>#DIV/0!</v>
      </c>
      <c r="X32" s="23"/>
      <c r="Y32" s="23"/>
      <c r="Z32" s="23"/>
      <c r="AA32" s="84"/>
      <c r="AB32" s="101"/>
      <c r="AC32" s="23"/>
      <c r="AD32" s="23"/>
      <c r="AE32" s="25"/>
    </row>
    <row r="33" spans="6:31">
      <c r="F33" s="30" t="s">
        <v>72</v>
      </c>
      <c r="G33" s="32">
        <v>3</v>
      </c>
      <c r="H33" s="32" t="s">
        <v>12</v>
      </c>
      <c r="I33" s="32" t="s">
        <v>9</v>
      </c>
      <c r="J33" s="32">
        <v>1</v>
      </c>
      <c r="K33" s="31">
        <v>11</v>
      </c>
      <c r="L33" s="31" t="s">
        <v>52</v>
      </c>
      <c r="M33" s="31" t="s">
        <v>73</v>
      </c>
      <c r="N33" s="37"/>
      <c r="O33" s="37"/>
      <c r="P33" s="37"/>
      <c r="Q33" s="37" t="e">
        <f t="shared" si="1"/>
        <v>#DIV/0!</v>
      </c>
      <c r="R33" s="37" t="e">
        <f t="shared" si="2"/>
        <v>#DIV/0!</v>
      </c>
      <c r="S33" s="37"/>
      <c r="T33" s="37"/>
      <c r="U33" s="37"/>
      <c r="V33" s="100" t="e">
        <f t="shared" si="3"/>
        <v>#DIV/0!</v>
      </c>
      <c r="W33" s="100" t="e">
        <f t="shared" si="4"/>
        <v>#DIV/0!</v>
      </c>
      <c r="X33" s="37"/>
      <c r="Y33" s="37"/>
      <c r="Z33" s="37"/>
      <c r="AA33" s="83"/>
      <c r="AB33" s="100"/>
      <c r="AC33" s="37"/>
      <c r="AD33" s="37"/>
      <c r="AE33" s="38"/>
    </row>
    <row r="34" spans="6:31">
      <c r="F34" s="14" t="s">
        <v>72</v>
      </c>
      <c r="G34" s="2">
        <v>3</v>
      </c>
      <c r="H34" s="2" t="s">
        <v>12</v>
      </c>
      <c r="I34" s="2" t="s">
        <v>9</v>
      </c>
      <c r="J34" s="2">
        <v>1</v>
      </c>
      <c r="K34" s="1">
        <v>11</v>
      </c>
      <c r="L34" s="1" t="s">
        <v>52</v>
      </c>
      <c r="M34" s="1" t="s">
        <v>75</v>
      </c>
      <c r="Q34" t="e">
        <f t="shared" si="1"/>
        <v>#DIV/0!</v>
      </c>
      <c r="R34" t="e">
        <f t="shared" si="2"/>
        <v>#DIV/0!</v>
      </c>
      <c r="V34" s="99" t="e">
        <f t="shared" si="3"/>
        <v>#DIV/0!</v>
      </c>
      <c r="W34" s="99" t="e">
        <f t="shared" si="4"/>
        <v>#DIV/0!</v>
      </c>
      <c r="AE34" s="18"/>
    </row>
    <row r="35" spans="6:31">
      <c r="F35" s="14" t="s">
        <v>72</v>
      </c>
      <c r="G35" s="2">
        <v>3</v>
      </c>
      <c r="H35" s="2" t="s">
        <v>12</v>
      </c>
      <c r="I35" s="2" t="s">
        <v>9</v>
      </c>
      <c r="J35" s="2">
        <v>1</v>
      </c>
      <c r="K35" s="1">
        <v>11</v>
      </c>
      <c r="L35" s="1" t="s">
        <v>52</v>
      </c>
      <c r="M35" s="1" t="s">
        <v>76</v>
      </c>
      <c r="Q35" t="e">
        <f t="shared" si="1"/>
        <v>#DIV/0!</v>
      </c>
      <c r="R35" t="e">
        <f t="shared" si="2"/>
        <v>#DIV/0!</v>
      </c>
      <c r="V35" s="99" t="e">
        <f t="shared" si="3"/>
        <v>#DIV/0!</v>
      </c>
      <c r="W35" s="99" t="e">
        <f t="shared" si="4"/>
        <v>#DIV/0!</v>
      </c>
      <c r="AE35" s="18"/>
    </row>
    <row r="36" spans="6:31">
      <c r="F36" s="14" t="s">
        <v>72</v>
      </c>
      <c r="G36" s="2">
        <v>3</v>
      </c>
      <c r="H36" s="2" t="s">
        <v>12</v>
      </c>
      <c r="I36" s="2" t="s">
        <v>9</v>
      </c>
      <c r="J36" s="2">
        <v>1</v>
      </c>
      <c r="K36" s="1">
        <v>12</v>
      </c>
      <c r="L36" s="1" t="s">
        <v>55</v>
      </c>
      <c r="M36" s="1" t="s">
        <v>73</v>
      </c>
      <c r="Q36" t="e">
        <f t="shared" si="1"/>
        <v>#DIV/0!</v>
      </c>
      <c r="R36" t="e">
        <f t="shared" si="2"/>
        <v>#DIV/0!</v>
      </c>
      <c r="V36" s="99" t="e">
        <f t="shared" si="3"/>
        <v>#DIV/0!</v>
      </c>
      <c r="W36" s="99" t="e">
        <f t="shared" si="4"/>
        <v>#DIV/0!</v>
      </c>
      <c r="AE36" s="18"/>
    </row>
    <row r="37" spans="6:31">
      <c r="F37" s="14" t="s">
        <v>72</v>
      </c>
      <c r="G37" s="2">
        <v>3</v>
      </c>
      <c r="H37" s="2" t="s">
        <v>12</v>
      </c>
      <c r="I37" s="2" t="s">
        <v>9</v>
      </c>
      <c r="J37" s="2">
        <v>1</v>
      </c>
      <c r="K37" s="1">
        <v>12</v>
      </c>
      <c r="L37" s="1" t="s">
        <v>55</v>
      </c>
      <c r="M37" s="1" t="s">
        <v>75</v>
      </c>
      <c r="Q37" t="e">
        <f t="shared" si="1"/>
        <v>#DIV/0!</v>
      </c>
      <c r="R37" t="e">
        <f t="shared" si="2"/>
        <v>#DIV/0!</v>
      </c>
      <c r="V37" s="99" t="e">
        <f t="shared" si="3"/>
        <v>#DIV/0!</v>
      </c>
      <c r="W37" s="99" t="e">
        <f t="shared" si="4"/>
        <v>#DIV/0!</v>
      </c>
      <c r="AE37" s="18"/>
    </row>
    <row r="38" spans="6:31">
      <c r="F38" s="14" t="s">
        <v>72</v>
      </c>
      <c r="G38" s="2">
        <v>3</v>
      </c>
      <c r="H38" s="2" t="s">
        <v>12</v>
      </c>
      <c r="I38" s="2" t="s">
        <v>9</v>
      </c>
      <c r="J38" s="2">
        <v>1</v>
      </c>
      <c r="K38" s="1">
        <v>12</v>
      </c>
      <c r="L38" s="1" t="s">
        <v>55</v>
      </c>
      <c r="M38" s="1" t="s">
        <v>76</v>
      </c>
      <c r="Q38" t="e">
        <f t="shared" si="1"/>
        <v>#DIV/0!</v>
      </c>
      <c r="R38" t="e">
        <f t="shared" si="2"/>
        <v>#DIV/0!</v>
      </c>
      <c r="V38" s="99" t="e">
        <f t="shared" si="3"/>
        <v>#DIV/0!</v>
      </c>
      <c r="W38" s="99" t="e">
        <f t="shared" si="4"/>
        <v>#DIV/0!</v>
      </c>
      <c r="AE38" s="18"/>
    </row>
    <row r="39" spans="6:31">
      <c r="F39" s="14" t="s">
        <v>72</v>
      </c>
      <c r="G39" s="2">
        <v>3</v>
      </c>
      <c r="H39" s="2" t="s">
        <v>12</v>
      </c>
      <c r="I39" s="2" t="s">
        <v>9</v>
      </c>
      <c r="J39" s="2">
        <v>1</v>
      </c>
      <c r="K39" s="1">
        <v>13</v>
      </c>
      <c r="L39" s="1" t="s">
        <v>57</v>
      </c>
      <c r="M39" s="1" t="s">
        <v>73</v>
      </c>
      <c r="Q39" t="e">
        <f t="shared" si="1"/>
        <v>#DIV/0!</v>
      </c>
      <c r="R39" t="e">
        <f t="shared" si="2"/>
        <v>#DIV/0!</v>
      </c>
      <c r="V39" s="99" t="e">
        <f t="shared" si="3"/>
        <v>#DIV/0!</v>
      </c>
      <c r="W39" s="99" t="e">
        <f t="shared" si="4"/>
        <v>#DIV/0!</v>
      </c>
      <c r="AE39" s="18"/>
    </row>
    <row r="40" spans="6:31">
      <c r="F40" s="14" t="s">
        <v>72</v>
      </c>
      <c r="G40" s="2">
        <v>3</v>
      </c>
      <c r="H40" s="2" t="s">
        <v>12</v>
      </c>
      <c r="I40" s="2" t="s">
        <v>9</v>
      </c>
      <c r="J40" s="2">
        <v>1</v>
      </c>
      <c r="K40" s="1">
        <v>13</v>
      </c>
      <c r="L40" s="1" t="s">
        <v>57</v>
      </c>
      <c r="M40" s="1" t="s">
        <v>75</v>
      </c>
      <c r="Q40" t="e">
        <f t="shared" si="1"/>
        <v>#DIV/0!</v>
      </c>
      <c r="R40" t="e">
        <f t="shared" si="2"/>
        <v>#DIV/0!</v>
      </c>
      <c r="V40" s="99" t="e">
        <f t="shared" si="3"/>
        <v>#DIV/0!</v>
      </c>
      <c r="W40" s="99" t="e">
        <f t="shared" si="4"/>
        <v>#DIV/0!</v>
      </c>
      <c r="AE40" s="18"/>
    </row>
    <row r="41" spans="6:31">
      <c r="F41" s="14" t="s">
        <v>72</v>
      </c>
      <c r="G41" s="2">
        <v>3</v>
      </c>
      <c r="H41" s="2" t="s">
        <v>12</v>
      </c>
      <c r="I41" s="2" t="s">
        <v>9</v>
      </c>
      <c r="J41" s="2">
        <v>1</v>
      </c>
      <c r="K41" s="1">
        <v>13</v>
      </c>
      <c r="L41" s="1" t="s">
        <v>57</v>
      </c>
      <c r="M41" s="1" t="s">
        <v>76</v>
      </c>
      <c r="Q41" t="e">
        <f t="shared" si="1"/>
        <v>#DIV/0!</v>
      </c>
      <c r="R41" t="e">
        <f t="shared" si="2"/>
        <v>#DIV/0!</v>
      </c>
      <c r="V41" s="99" t="e">
        <f t="shared" si="3"/>
        <v>#DIV/0!</v>
      </c>
      <c r="W41" s="99" t="e">
        <f t="shared" si="4"/>
        <v>#DIV/0!</v>
      </c>
      <c r="AE41" s="18"/>
    </row>
    <row r="42" spans="6:31">
      <c r="F42" s="14" t="s">
        <v>72</v>
      </c>
      <c r="G42" s="2">
        <v>3</v>
      </c>
      <c r="H42" s="2" t="s">
        <v>12</v>
      </c>
      <c r="I42" s="2" t="s">
        <v>9</v>
      </c>
      <c r="J42" s="2">
        <v>1</v>
      </c>
      <c r="K42" s="1">
        <v>14</v>
      </c>
      <c r="L42" s="1" t="s">
        <v>59</v>
      </c>
      <c r="M42" s="1" t="s">
        <v>73</v>
      </c>
      <c r="Q42" t="e">
        <f t="shared" si="1"/>
        <v>#DIV/0!</v>
      </c>
      <c r="R42" t="e">
        <f t="shared" si="2"/>
        <v>#DIV/0!</v>
      </c>
      <c r="V42" s="99" t="e">
        <f t="shared" si="3"/>
        <v>#DIV/0!</v>
      </c>
      <c r="W42" s="99" t="e">
        <f t="shared" si="4"/>
        <v>#DIV/0!</v>
      </c>
      <c r="AE42" s="18"/>
    </row>
    <row r="43" spans="6:31">
      <c r="F43" s="14" t="s">
        <v>72</v>
      </c>
      <c r="G43" s="2">
        <v>3</v>
      </c>
      <c r="H43" s="2" t="s">
        <v>12</v>
      </c>
      <c r="I43" s="2" t="s">
        <v>9</v>
      </c>
      <c r="J43" s="2">
        <v>1</v>
      </c>
      <c r="K43" s="1">
        <v>14</v>
      </c>
      <c r="L43" s="1" t="s">
        <v>59</v>
      </c>
      <c r="M43" s="1" t="s">
        <v>75</v>
      </c>
      <c r="Q43" t="e">
        <f t="shared" si="1"/>
        <v>#DIV/0!</v>
      </c>
      <c r="R43" t="e">
        <f t="shared" si="2"/>
        <v>#DIV/0!</v>
      </c>
      <c r="V43" s="99" t="e">
        <f t="shared" si="3"/>
        <v>#DIV/0!</v>
      </c>
      <c r="W43" s="99" t="e">
        <f t="shared" si="4"/>
        <v>#DIV/0!</v>
      </c>
      <c r="AE43" s="18"/>
    </row>
    <row r="44" spans="6:31">
      <c r="F44" s="14" t="s">
        <v>72</v>
      </c>
      <c r="G44" s="2">
        <v>3</v>
      </c>
      <c r="H44" s="2" t="s">
        <v>12</v>
      </c>
      <c r="I44" s="2" t="s">
        <v>9</v>
      </c>
      <c r="J44" s="2">
        <v>1</v>
      </c>
      <c r="K44" s="1">
        <v>14</v>
      </c>
      <c r="L44" s="1" t="s">
        <v>59</v>
      </c>
      <c r="M44" s="1" t="s">
        <v>76</v>
      </c>
      <c r="Q44" t="e">
        <f t="shared" si="1"/>
        <v>#DIV/0!</v>
      </c>
      <c r="R44" t="e">
        <f t="shared" si="2"/>
        <v>#DIV/0!</v>
      </c>
      <c r="V44" s="99" t="e">
        <f t="shared" si="3"/>
        <v>#DIV/0!</v>
      </c>
      <c r="W44" s="99" t="e">
        <f t="shared" si="4"/>
        <v>#DIV/0!</v>
      </c>
      <c r="AE44" s="18"/>
    </row>
    <row r="45" spans="6:31">
      <c r="F45" s="14" t="s">
        <v>72</v>
      </c>
      <c r="G45" s="2">
        <v>3</v>
      </c>
      <c r="H45" s="2" t="s">
        <v>12</v>
      </c>
      <c r="I45" s="2" t="s">
        <v>9</v>
      </c>
      <c r="J45" s="2">
        <v>1</v>
      </c>
      <c r="K45" s="1">
        <v>15</v>
      </c>
      <c r="L45" s="1" t="s">
        <v>60</v>
      </c>
      <c r="M45" s="1" t="s">
        <v>73</v>
      </c>
      <c r="Q45" t="e">
        <f t="shared" si="1"/>
        <v>#DIV/0!</v>
      </c>
      <c r="R45" t="e">
        <f t="shared" si="2"/>
        <v>#DIV/0!</v>
      </c>
      <c r="V45" s="99" t="e">
        <f t="shared" si="3"/>
        <v>#DIV/0!</v>
      </c>
      <c r="W45" s="99" t="e">
        <f t="shared" si="4"/>
        <v>#DIV/0!</v>
      </c>
      <c r="AE45" s="18"/>
    </row>
    <row r="46" spans="6:31">
      <c r="F46" s="14" t="s">
        <v>72</v>
      </c>
      <c r="G46" s="2">
        <v>3</v>
      </c>
      <c r="H46" s="2" t="s">
        <v>12</v>
      </c>
      <c r="I46" s="2" t="s">
        <v>9</v>
      </c>
      <c r="J46" s="2">
        <v>1</v>
      </c>
      <c r="K46" s="1">
        <v>15</v>
      </c>
      <c r="L46" s="1" t="s">
        <v>60</v>
      </c>
      <c r="M46" s="1" t="s">
        <v>75</v>
      </c>
      <c r="Q46" t="e">
        <f t="shared" si="1"/>
        <v>#DIV/0!</v>
      </c>
      <c r="R46" t="e">
        <f t="shared" si="2"/>
        <v>#DIV/0!</v>
      </c>
      <c r="V46" s="99" t="e">
        <f t="shared" si="3"/>
        <v>#DIV/0!</v>
      </c>
      <c r="W46" s="99" t="e">
        <f t="shared" si="4"/>
        <v>#DIV/0!</v>
      </c>
      <c r="AE46" s="18"/>
    </row>
    <row r="47" spans="6:31" ht="15.75" thickBot="1">
      <c r="F47" s="19" t="s">
        <v>72</v>
      </c>
      <c r="G47" s="20">
        <v>3</v>
      </c>
      <c r="H47" s="20" t="s">
        <v>12</v>
      </c>
      <c r="I47" s="20" t="s">
        <v>9</v>
      </c>
      <c r="J47" s="20">
        <v>1</v>
      </c>
      <c r="K47" s="22">
        <v>15</v>
      </c>
      <c r="L47" s="22" t="s">
        <v>60</v>
      </c>
      <c r="M47" s="22" t="s">
        <v>76</v>
      </c>
      <c r="N47" s="23"/>
      <c r="O47" s="23"/>
      <c r="P47" s="23"/>
      <c r="Q47" s="23" t="e">
        <f t="shared" si="1"/>
        <v>#DIV/0!</v>
      </c>
      <c r="R47" s="23" t="e">
        <f t="shared" si="2"/>
        <v>#DIV/0!</v>
      </c>
      <c r="S47" s="23"/>
      <c r="T47" s="23"/>
      <c r="U47" s="23"/>
      <c r="V47" s="101" t="e">
        <f t="shared" si="3"/>
        <v>#DIV/0!</v>
      </c>
      <c r="W47" s="101" t="e">
        <f t="shared" si="4"/>
        <v>#DIV/0!</v>
      </c>
      <c r="X47" s="23"/>
      <c r="Y47" s="23"/>
      <c r="Z47" s="23"/>
      <c r="AA47" s="84"/>
      <c r="AB47" s="101"/>
      <c r="AC47" s="23"/>
      <c r="AD47" s="23"/>
      <c r="AE47" s="25"/>
    </row>
    <row r="48" spans="6:31">
      <c r="F48" s="30" t="s">
        <v>72</v>
      </c>
      <c r="G48" s="32">
        <v>4</v>
      </c>
      <c r="H48" s="32" t="s">
        <v>10</v>
      </c>
      <c r="I48" s="32" t="s">
        <v>9</v>
      </c>
      <c r="J48" s="39">
        <v>1</v>
      </c>
      <c r="K48" s="31">
        <v>16</v>
      </c>
      <c r="L48" s="31" t="s">
        <v>52</v>
      </c>
      <c r="M48" s="31" t="s">
        <v>73</v>
      </c>
      <c r="N48" s="37"/>
      <c r="O48" s="37"/>
      <c r="P48" s="37"/>
      <c r="Q48" s="37" t="e">
        <f t="shared" si="1"/>
        <v>#DIV/0!</v>
      </c>
      <c r="R48" s="37" t="e">
        <f t="shared" si="2"/>
        <v>#DIV/0!</v>
      </c>
      <c r="S48" s="37"/>
      <c r="T48" s="37"/>
      <c r="U48" s="37"/>
      <c r="V48" s="100" t="e">
        <f t="shared" si="3"/>
        <v>#DIV/0!</v>
      </c>
      <c r="W48" s="100" t="e">
        <f t="shared" si="4"/>
        <v>#DIV/0!</v>
      </c>
      <c r="X48" s="37"/>
      <c r="Y48" s="37"/>
      <c r="Z48" s="37"/>
      <c r="AA48" s="83"/>
      <c r="AB48" s="100"/>
      <c r="AC48" s="37"/>
      <c r="AD48" s="37"/>
      <c r="AE48" s="38"/>
    </row>
    <row r="49" spans="6:31">
      <c r="F49" s="14" t="s">
        <v>72</v>
      </c>
      <c r="G49" s="2">
        <v>4</v>
      </c>
      <c r="H49" s="2" t="s">
        <v>10</v>
      </c>
      <c r="I49" s="2" t="s">
        <v>9</v>
      </c>
      <c r="J49" s="3">
        <v>1</v>
      </c>
      <c r="K49" s="1">
        <v>16</v>
      </c>
      <c r="L49" s="1" t="s">
        <v>52</v>
      </c>
      <c r="M49" s="1" t="s">
        <v>75</v>
      </c>
      <c r="Q49" t="e">
        <f t="shared" si="1"/>
        <v>#DIV/0!</v>
      </c>
      <c r="R49" t="e">
        <f t="shared" si="2"/>
        <v>#DIV/0!</v>
      </c>
      <c r="V49" s="99" t="e">
        <f t="shared" si="3"/>
        <v>#DIV/0!</v>
      </c>
      <c r="W49" s="99" t="e">
        <f t="shared" si="4"/>
        <v>#DIV/0!</v>
      </c>
      <c r="AE49" s="18"/>
    </row>
    <row r="50" spans="6:31">
      <c r="F50" s="14" t="s">
        <v>72</v>
      </c>
      <c r="G50" s="2">
        <v>4</v>
      </c>
      <c r="H50" s="2" t="s">
        <v>10</v>
      </c>
      <c r="I50" s="2" t="s">
        <v>9</v>
      </c>
      <c r="J50" s="3">
        <v>1</v>
      </c>
      <c r="K50" s="1">
        <v>16</v>
      </c>
      <c r="L50" s="1" t="s">
        <v>52</v>
      </c>
      <c r="M50" s="1" t="s">
        <v>76</v>
      </c>
      <c r="Q50" t="e">
        <f t="shared" si="1"/>
        <v>#DIV/0!</v>
      </c>
      <c r="R50" t="e">
        <f t="shared" si="2"/>
        <v>#DIV/0!</v>
      </c>
      <c r="V50" s="99" t="e">
        <f t="shared" si="3"/>
        <v>#DIV/0!</v>
      </c>
      <c r="W50" s="99" t="e">
        <f t="shared" si="4"/>
        <v>#DIV/0!</v>
      </c>
      <c r="AE50" s="18"/>
    </row>
    <row r="51" spans="6:31">
      <c r="F51" s="14" t="s">
        <v>72</v>
      </c>
      <c r="G51" s="2">
        <v>4</v>
      </c>
      <c r="H51" s="2" t="s">
        <v>10</v>
      </c>
      <c r="I51" s="2" t="s">
        <v>9</v>
      </c>
      <c r="J51" s="3">
        <v>1</v>
      </c>
      <c r="K51" s="1">
        <v>17</v>
      </c>
      <c r="L51" s="1" t="s">
        <v>55</v>
      </c>
      <c r="M51" s="1" t="s">
        <v>73</v>
      </c>
      <c r="Q51" t="e">
        <f t="shared" si="1"/>
        <v>#DIV/0!</v>
      </c>
      <c r="R51" t="e">
        <f t="shared" si="2"/>
        <v>#DIV/0!</v>
      </c>
      <c r="V51" s="99" t="e">
        <f t="shared" si="3"/>
        <v>#DIV/0!</v>
      </c>
      <c r="W51" s="99" t="e">
        <f t="shared" si="4"/>
        <v>#DIV/0!</v>
      </c>
      <c r="AE51" s="18"/>
    </row>
    <row r="52" spans="6:31">
      <c r="F52" s="14" t="s">
        <v>72</v>
      </c>
      <c r="G52" s="2">
        <v>4</v>
      </c>
      <c r="H52" s="2" t="s">
        <v>10</v>
      </c>
      <c r="I52" s="2" t="s">
        <v>9</v>
      </c>
      <c r="J52" s="3">
        <v>1</v>
      </c>
      <c r="K52" s="1">
        <v>17</v>
      </c>
      <c r="L52" s="1" t="s">
        <v>55</v>
      </c>
      <c r="M52" s="1" t="s">
        <v>75</v>
      </c>
      <c r="Q52" t="e">
        <f t="shared" si="1"/>
        <v>#DIV/0!</v>
      </c>
      <c r="R52" t="e">
        <f t="shared" si="2"/>
        <v>#DIV/0!</v>
      </c>
      <c r="V52" s="99" t="e">
        <f t="shared" si="3"/>
        <v>#DIV/0!</v>
      </c>
      <c r="W52" s="99" t="e">
        <f t="shared" si="4"/>
        <v>#DIV/0!</v>
      </c>
      <c r="AE52" s="18"/>
    </row>
    <row r="53" spans="6:31">
      <c r="F53" s="14" t="s">
        <v>72</v>
      </c>
      <c r="G53" s="2">
        <v>4</v>
      </c>
      <c r="H53" s="2" t="s">
        <v>10</v>
      </c>
      <c r="I53" s="2" t="s">
        <v>9</v>
      </c>
      <c r="J53" s="3">
        <v>1</v>
      </c>
      <c r="K53" s="1">
        <v>17</v>
      </c>
      <c r="L53" s="1" t="s">
        <v>55</v>
      </c>
      <c r="M53" s="1" t="s">
        <v>76</v>
      </c>
      <c r="Q53" t="e">
        <f t="shared" si="1"/>
        <v>#DIV/0!</v>
      </c>
      <c r="R53" t="e">
        <f t="shared" si="2"/>
        <v>#DIV/0!</v>
      </c>
      <c r="V53" s="99" t="e">
        <f t="shared" si="3"/>
        <v>#DIV/0!</v>
      </c>
      <c r="W53" s="99" t="e">
        <f t="shared" si="4"/>
        <v>#DIV/0!</v>
      </c>
      <c r="AE53" s="18"/>
    </row>
    <row r="54" spans="6:31">
      <c r="F54" s="14" t="s">
        <v>72</v>
      </c>
      <c r="G54" s="2">
        <v>4</v>
      </c>
      <c r="H54" s="2" t="s">
        <v>10</v>
      </c>
      <c r="I54" s="2" t="s">
        <v>9</v>
      </c>
      <c r="J54" s="3">
        <v>1</v>
      </c>
      <c r="K54" s="1">
        <v>18</v>
      </c>
      <c r="L54" s="1" t="s">
        <v>57</v>
      </c>
      <c r="M54" s="1" t="s">
        <v>73</v>
      </c>
      <c r="Q54" t="e">
        <f t="shared" si="1"/>
        <v>#DIV/0!</v>
      </c>
      <c r="R54" t="e">
        <f t="shared" si="2"/>
        <v>#DIV/0!</v>
      </c>
      <c r="V54" s="99" t="e">
        <f t="shared" si="3"/>
        <v>#DIV/0!</v>
      </c>
      <c r="W54" s="99" t="e">
        <f t="shared" si="4"/>
        <v>#DIV/0!</v>
      </c>
      <c r="AE54" s="18"/>
    </row>
    <row r="55" spans="6:31">
      <c r="F55" s="14" t="s">
        <v>72</v>
      </c>
      <c r="G55" s="2">
        <v>4</v>
      </c>
      <c r="H55" s="2" t="s">
        <v>10</v>
      </c>
      <c r="I55" s="2" t="s">
        <v>9</v>
      </c>
      <c r="J55" s="3">
        <v>1</v>
      </c>
      <c r="K55" s="1">
        <v>18</v>
      </c>
      <c r="L55" s="1" t="s">
        <v>57</v>
      </c>
      <c r="M55" s="1" t="s">
        <v>75</v>
      </c>
      <c r="Q55" t="e">
        <f t="shared" si="1"/>
        <v>#DIV/0!</v>
      </c>
      <c r="R55" t="e">
        <f t="shared" si="2"/>
        <v>#DIV/0!</v>
      </c>
      <c r="V55" s="99" t="e">
        <f t="shared" si="3"/>
        <v>#DIV/0!</v>
      </c>
      <c r="W55" s="99" t="e">
        <f t="shared" si="4"/>
        <v>#DIV/0!</v>
      </c>
      <c r="AE55" s="18"/>
    </row>
    <row r="56" spans="6:31">
      <c r="F56" s="14" t="s">
        <v>72</v>
      </c>
      <c r="G56" s="2">
        <v>4</v>
      </c>
      <c r="H56" s="2" t="s">
        <v>10</v>
      </c>
      <c r="I56" s="2" t="s">
        <v>9</v>
      </c>
      <c r="J56" s="3">
        <v>1</v>
      </c>
      <c r="K56" s="1">
        <v>18</v>
      </c>
      <c r="L56" s="1" t="s">
        <v>57</v>
      </c>
      <c r="M56" s="1" t="s">
        <v>76</v>
      </c>
      <c r="Q56" t="e">
        <f t="shared" si="1"/>
        <v>#DIV/0!</v>
      </c>
      <c r="R56" t="e">
        <f t="shared" si="2"/>
        <v>#DIV/0!</v>
      </c>
      <c r="V56" s="99" t="e">
        <f t="shared" si="3"/>
        <v>#DIV/0!</v>
      </c>
      <c r="W56" s="99" t="e">
        <f t="shared" si="4"/>
        <v>#DIV/0!</v>
      </c>
      <c r="AE56" s="18"/>
    </row>
    <row r="57" spans="6:31">
      <c r="F57" s="14" t="s">
        <v>72</v>
      </c>
      <c r="G57" s="2">
        <v>4</v>
      </c>
      <c r="H57" s="2" t="s">
        <v>10</v>
      </c>
      <c r="I57" s="2" t="s">
        <v>9</v>
      </c>
      <c r="J57" s="3">
        <v>1</v>
      </c>
      <c r="K57" s="1">
        <v>19</v>
      </c>
      <c r="L57" s="1" t="s">
        <v>59</v>
      </c>
      <c r="M57" s="1" t="s">
        <v>73</v>
      </c>
      <c r="Q57" t="e">
        <f t="shared" si="1"/>
        <v>#DIV/0!</v>
      </c>
      <c r="R57" t="e">
        <f t="shared" si="2"/>
        <v>#DIV/0!</v>
      </c>
      <c r="V57" s="99" t="e">
        <f t="shared" si="3"/>
        <v>#DIV/0!</v>
      </c>
      <c r="W57" s="99" t="e">
        <f t="shared" si="4"/>
        <v>#DIV/0!</v>
      </c>
      <c r="AE57" s="18"/>
    </row>
    <row r="58" spans="6:31">
      <c r="F58" s="14" t="s">
        <v>72</v>
      </c>
      <c r="G58" s="2">
        <v>4</v>
      </c>
      <c r="H58" s="2" t="s">
        <v>10</v>
      </c>
      <c r="I58" s="2" t="s">
        <v>9</v>
      </c>
      <c r="J58" s="3">
        <v>1</v>
      </c>
      <c r="K58" s="1">
        <v>19</v>
      </c>
      <c r="L58" s="1" t="s">
        <v>59</v>
      </c>
      <c r="M58" s="1" t="s">
        <v>75</v>
      </c>
      <c r="Q58" t="e">
        <f t="shared" si="1"/>
        <v>#DIV/0!</v>
      </c>
      <c r="R58" t="e">
        <f t="shared" si="2"/>
        <v>#DIV/0!</v>
      </c>
      <c r="V58" s="99" t="e">
        <f t="shared" si="3"/>
        <v>#DIV/0!</v>
      </c>
      <c r="W58" s="99" t="e">
        <f t="shared" si="4"/>
        <v>#DIV/0!</v>
      </c>
      <c r="AE58" s="18"/>
    </row>
    <row r="59" spans="6:31">
      <c r="F59" s="14" t="s">
        <v>72</v>
      </c>
      <c r="G59" s="2">
        <v>4</v>
      </c>
      <c r="H59" s="2" t="s">
        <v>10</v>
      </c>
      <c r="I59" s="2" t="s">
        <v>9</v>
      </c>
      <c r="J59" s="3">
        <v>1</v>
      </c>
      <c r="K59" s="1">
        <v>19</v>
      </c>
      <c r="L59" s="1" t="s">
        <v>59</v>
      </c>
      <c r="M59" s="1" t="s">
        <v>76</v>
      </c>
      <c r="Q59" t="e">
        <f t="shared" si="1"/>
        <v>#DIV/0!</v>
      </c>
      <c r="R59" t="e">
        <f t="shared" si="2"/>
        <v>#DIV/0!</v>
      </c>
      <c r="V59" s="99" t="e">
        <f t="shared" si="3"/>
        <v>#DIV/0!</v>
      </c>
      <c r="W59" s="99" t="e">
        <f t="shared" si="4"/>
        <v>#DIV/0!</v>
      </c>
      <c r="AE59" s="18"/>
    </row>
    <row r="60" spans="6:31">
      <c r="F60" s="14" t="s">
        <v>72</v>
      </c>
      <c r="G60" s="2">
        <v>4</v>
      </c>
      <c r="H60" s="2" t="s">
        <v>10</v>
      </c>
      <c r="I60" s="2" t="s">
        <v>9</v>
      </c>
      <c r="J60" s="3">
        <v>1</v>
      </c>
      <c r="K60" s="1">
        <v>20</v>
      </c>
      <c r="L60" s="1" t="s">
        <v>60</v>
      </c>
      <c r="M60" s="1" t="s">
        <v>73</v>
      </c>
      <c r="Q60" t="e">
        <f t="shared" si="1"/>
        <v>#DIV/0!</v>
      </c>
      <c r="R60" t="e">
        <f t="shared" si="2"/>
        <v>#DIV/0!</v>
      </c>
      <c r="V60" s="99" t="e">
        <f t="shared" si="3"/>
        <v>#DIV/0!</v>
      </c>
      <c r="W60" s="99" t="e">
        <f t="shared" si="4"/>
        <v>#DIV/0!</v>
      </c>
      <c r="AE60" s="18"/>
    </row>
    <row r="61" spans="6:31">
      <c r="F61" s="14" t="s">
        <v>72</v>
      </c>
      <c r="G61" s="2">
        <v>4</v>
      </c>
      <c r="H61" s="2" t="s">
        <v>10</v>
      </c>
      <c r="I61" s="2" t="s">
        <v>9</v>
      </c>
      <c r="J61" s="3">
        <v>1</v>
      </c>
      <c r="K61" s="1">
        <v>20</v>
      </c>
      <c r="L61" s="1" t="s">
        <v>60</v>
      </c>
      <c r="M61" s="1" t="s">
        <v>75</v>
      </c>
      <c r="Q61" t="e">
        <f t="shared" si="1"/>
        <v>#DIV/0!</v>
      </c>
      <c r="R61" t="e">
        <f t="shared" si="2"/>
        <v>#DIV/0!</v>
      </c>
      <c r="V61" s="99" t="e">
        <f t="shared" si="3"/>
        <v>#DIV/0!</v>
      </c>
      <c r="W61" s="99" t="e">
        <f t="shared" si="4"/>
        <v>#DIV/0!</v>
      </c>
      <c r="AE61" s="18"/>
    </row>
    <row r="62" spans="6:31" ht="15.75" thickBot="1">
      <c r="F62" s="19" t="s">
        <v>72</v>
      </c>
      <c r="G62" s="20">
        <v>4</v>
      </c>
      <c r="H62" s="20" t="s">
        <v>10</v>
      </c>
      <c r="I62" s="20" t="s">
        <v>9</v>
      </c>
      <c r="J62" s="21">
        <v>1</v>
      </c>
      <c r="K62" s="22">
        <v>20</v>
      </c>
      <c r="L62" s="22" t="s">
        <v>60</v>
      </c>
      <c r="M62" s="22" t="s">
        <v>76</v>
      </c>
      <c r="N62" s="23"/>
      <c r="O62" s="23"/>
      <c r="P62" s="23"/>
      <c r="Q62" s="23" t="e">
        <f t="shared" si="1"/>
        <v>#DIV/0!</v>
      </c>
      <c r="R62" s="23" t="e">
        <f t="shared" si="2"/>
        <v>#DIV/0!</v>
      </c>
      <c r="S62" s="23"/>
      <c r="T62" s="23"/>
      <c r="U62" s="23"/>
      <c r="V62" s="101" t="e">
        <f t="shared" si="3"/>
        <v>#DIV/0!</v>
      </c>
      <c r="W62" s="101" t="e">
        <f t="shared" si="4"/>
        <v>#DIV/0!</v>
      </c>
      <c r="X62" s="23"/>
      <c r="Y62" s="23"/>
      <c r="Z62" s="23"/>
      <c r="AA62" s="84"/>
      <c r="AB62" s="101"/>
      <c r="AC62" s="23"/>
      <c r="AD62" s="23"/>
      <c r="AE62" s="25"/>
    </row>
    <row r="63" spans="6:31">
      <c r="F63" s="30" t="s">
        <v>72</v>
      </c>
      <c r="G63" s="32">
        <v>5</v>
      </c>
      <c r="H63" s="32" t="s">
        <v>8</v>
      </c>
      <c r="I63" s="32" t="s">
        <v>9</v>
      </c>
      <c r="J63" s="32">
        <v>2</v>
      </c>
      <c r="K63" s="31">
        <v>21</v>
      </c>
      <c r="L63" s="31" t="s">
        <v>52</v>
      </c>
      <c r="M63" s="31" t="s">
        <v>73</v>
      </c>
      <c r="N63" s="37"/>
      <c r="O63" s="37"/>
      <c r="P63" s="37"/>
      <c r="Q63" s="37" t="e">
        <f t="shared" si="1"/>
        <v>#DIV/0!</v>
      </c>
      <c r="R63" s="37" t="e">
        <f t="shared" si="2"/>
        <v>#DIV/0!</v>
      </c>
      <c r="S63" s="37"/>
      <c r="T63" s="37"/>
      <c r="U63" s="37"/>
      <c r="V63" s="100" t="e">
        <f t="shared" si="3"/>
        <v>#DIV/0!</v>
      </c>
      <c r="W63" s="100" t="e">
        <f t="shared" si="4"/>
        <v>#DIV/0!</v>
      </c>
      <c r="X63" s="37"/>
      <c r="Y63" s="37"/>
      <c r="Z63" s="37"/>
      <c r="AA63" s="83"/>
      <c r="AB63" s="100"/>
      <c r="AC63" s="37"/>
      <c r="AD63" s="37"/>
      <c r="AE63" s="38"/>
    </row>
    <row r="64" spans="6:31">
      <c r="F64" s="14" t="s">
        <v>72</v>
      </c>
      <c r="G64" s="2">
        <v>5</v>
      </c>
      <c r="H64" s="2" t="s">
        <v>8</v>
      </c>
      <c r="I64" s="2" t="s">
        <v>9</v>
      </c>
      <c r="J64" s="2">
        <v>2</v>
      </c>
      <c r="K64" s="1">
        <v>21</v>
      </c>
      <c r="L64" s="1" t="s">
        <v>52</v>
      </c>
      <c r="M64" s="1" t="s">
        <v>75</v>
      </c>
      <c r="Q64" t="e">
        <f t="shared" si="1"/>
        <v>#DIV/0!</v>
      </c>
      <c r="R64" t="e">
        <f t="shared" si="2"/>
        <v>#DIV/0!</v>
      </c>
      <c r="V64" s="99" t="e">
        <f t="shared" si="3"/>
        <v>#DIV/0!</v>
      </c>
      <c r="W64" s="99" t="e">
        <f t="shared" si="4"/>
        <v>#DIV/0!</v>
      </c>
      <c r="AE64" s="18"/>
    </row>
    <row r="65" spans="6:31">
      <c r="F65" s="14" t="s">
        <v>72</v>
      </c>
      <c r="G65" s="2">
        <v>5</v>
      </c>
      <c r="H65" s="2" t="s">
        <v>8</v>
      </c>
      <c r="I65" s="2" t="s">
        <v>9</v>
      </c>
      <c r="J65" s="2">
        <v>2</v>
      </c>
      <c r="K65" s="1">
        <v>21</v>
      </c>
      <c r="L65" s="1" t="s">
        <v>52</v>
      </c>
      <c r="M65" s="1" t="s">
        <v>76</v>
      </c>
      <c r="Q65" t="e">
        <f t="shared" si="1"/>
        <v>#DIV/0!</v>
      </c>
      <c r="R65" t="e">
        <f t="shared" si="2"/>
        <v>#DIV/0!</v>
      </c>
      <c r="V65" s="99" t="e">
        <f t="shared" si="3"/>
        <v>#DIV/0!</v>
      </c>
      <c r="W65" s="99" t="e">
        <f t="shared" si="4"/>
        <v>#DIV/0!</v>
      </c>
      <c r="AE65" s="18"/>
    </row>
    <row r="66" spans="6:31">
      <c r="F66" s="14" t="s">
        <v>72</v>
      </c>
      <c r="G66" s="2">
        <v>5</v>
      </c>
      <c r="H66" s="2" t="s">
        <v>8</v>
      </c>
      <c r="I66" s="2" t="s">
        <v>9</v>
      </c>
      <c r="J66" s="2">
        <v>2</v>
      </c>
      <c r="K66" s="1">
        <v>22</v>
      </c>
      <c r="L66" s="1" t="s">
        <v>55</v>
      </c>
      <c r="M66" s="1" t="s">
        <v>73</v>
      </c>
      <c r="Q66" t="e">
        <f t="shared" si="1"/>
        <v>#DIV/0!</v>
      </c>
      <c r="R66" t="e">
        <f t="shared" si="2"/>
        <v>#DIV/0!</v>
      </c>
      <c r="V66" s="99" t="e">
        <f t="shared" si="3"/>
        <v>#DIV/0!</v>
      </c>
      <c r="W66" s="99" t="e">
        <f t="shared" si="4"/>
        <v>#DIV/0!</v>
      </c>
      <c r="AE66" s="18"/>
    </row>
    <row r="67" spans="6:31">
      <c r="F67" s="14" t="s">
        <v>72</v>
      </c>
      <c r="G67" s="2">
        <v>5</v>
      </c>
      <c r="H67" s="2" t="s">
        <v>8</v>
      </c>
      <c r="I67" s="2" t="s">
        <v>9</v>
      </c>
      <c r="J67" s="2">
        <v>2</v>
      </c>
      <c r="K67" s="1">
        <v>22</v>
      </c>
      <c r="L67" s="1" t="s">
        <v>55</v>
      </c>
      <c r="M67" s="1" t="s">
        <v>75</v>
      </c>
      <c r="Q67" t="e">
        <f t="shared" si="1"/>
        <v>#DIV/0!</v>
      </c>
      <c r="R67" t="e">
        <f t="shared" si="2"/>
        <v>#DIV/0!</v>
      </c>
      <c r="V67" s="99" t="e">
        <f t="shared" si="3"/>
        <v>#DIV/0!</v>
      </c>
      <c r="W67" s="99" t="e">
        <f t="shared" si="4"/>
        <v>#DIV/0!</v>
      </c>
      <c r="AE67" s="18"/>
    </row>
    <row r="68" spans="6:31">
      <c r="F68" s="14" t="s">
        <v>72</v>
      </c>
      <c r="G68" s="2">
        <v>5</v>
      </c>
      <c r="H68" s="2" t="s">
        <v>8</v>
      </c>
      <c r="I68" s="2" t="s">
        <v>9</v>
      </c>
      <c r="J68" s="2">
        <v>2</v>
      </c>
      <c r="K68" s="1">
        <v>22</v>
      </c>
      <c r="L68" s="1" t="s">
        <v>55</v>
      </c>
      <c r="M68" s="1" t="s">
        <v>76</v>
      </c>
      <c r="Q68" t="e">
        <f t="shared" ref="Q68:Q131" si="5">AVERAGE(N68:P68)</f>
        <v>#DIV/0!</v>
      </c>
      <c r="R68" t="e">
        <f t="shared" ref="R68:R131" si="6">_xlfn.STDEV.S(N68:P68)</f>
        <v>#DIV/0!</v>
      </c>
      <c r="V68" s="99" t="e">
        <f t="shared" ref="V68:V131" si="7">AVERAGE(S68:U68)</f>
        <v>#DIV/0!</v>
      </c>
      <c r="W68" s="99" t="e">
        <f t="shared" si="4"/>
        <v>#DIV/0!</v>
      </c>
      <c r="AE68" s="18"/>
    </row>
    <row r="69" spans="6:31">
      <c r="F69" s="14" t="s">
        <v>72</v>
      </c>
      <c r="G69" s="2">
        <v>5</v>
      </c>
      <c r="H69" s="2" t="s">
        <v>8</v>
      </c>
      <c r="I69" s="2" t="s">
        <v>9</v>
      </c>
      <c r="J69" s="2">
        <v>2</v>
      </c>
      <c r="K69" s="1">
        <v>23</v>
      </c>
      <c r="L69" s="1" t="s">
        <v>57</v>
      </c>
      <c r="M69" s="1" t="s">
        <v>73</v>
      </c>
      <c r="Q69" t="e">
        <f t="shared" si="5"/>
        <v>#DIV/0!</v>
      </c>
      <c r="R69" t="e">
        <f t="shared" si="6"/>
        <v>#DIV/0!</v>
      </c>
      <c r="V69" s="99" t="e">
        <f t="shared" si="7"/>
        <v>#DIV/0!</v>
      </c>
      <c r="W69" s="99" t="e">
        <f t="shared" si="4"/>
        <v>#DIV/0!</v>
      </c>
      <c r="AE69" s="18"/>
    </row>
    <row r="70" spans="6:31">
      <c r="F70" s="14" t="s">
        <v>72</v>
      </c>
      <c r="G70" s="2">
        <v>5</v>
      </c>
      <c r="H70" s="2" t="s">
        <v>8</v>
      </c>
      <c r="I70" s="2" t="s">
        <v>9</v>
      </c>
      <c r="J70" s="2">
        <v>2</v>
      </c>
      <c r="K70" s="1">
        <v>23</v>
      </c>
      <c r="L70" s="1" t="s">
        <v>57</v>
      </c>
      <c r="M70" s="1" t="s">
        <v>75</v>
      </c>
      <c r="Q70" t="e">
        <f t="shared" si="5"/>
        <v>#DIV/0!</v>
      </c>
      <c r="R70" t="e">
        <f t="shared" si="6"/>
        <v>#DIV/0!</v>
      </c>
      <c r="V70" s="99" t="e">
        <f t="shared" si="7"/>
        <v>#DIV/0!</v>
      </c>
      <c r="W70" s="99" t="e">
        <f t="shared" si="4"/>
        <v>#DIV/0!</v>
      </c>
      <c r="AE70" s="18"/>
    </row>
    <row r="71" spans="6:31">
      <c r="F71" s="14" t="s">
        <v>72</v>
      </c>
      <c r="G71" s="2">
        <v>5</v>
      </c>
      <c r="H71" s="2" t="s">
        <v>8</v>
      </c>
      <c r="I71" s="2" t="s">
        <v>9</v>
      </c>
      <c r="J71" s="2">
        <v>2</v>
      </c>
      <c r="K71" s="1">
        <v>23</v>
      </c>
      <c r="L71" s="1" t="s">
        <v>57</v>
      </c>
      <c r="M71" s="1" t="s">
        <v>76</v>
      </c>
      <c r="Q71" t="e">
        <f t="shared" si="5"/>
        <v>#DIV/0!</v>
      </c>
      <c r="R71" t="e">
        <f t="shared" si="6"/>
        <v>#DIV/0!</v>
      </c>
      <c r="V71" s="99" t="e">
        <f t="shared" si="7"/>
        <v>#DIV/0!</v>
      </c>
      <c r="W71" s="99" t="e">
        <f t="shared" si="4"/>
        <v>#DIV/0!</v>
      </c>
      <c r="AE71" s="18"/>
    </row>
    <row r="72" spans="6:31">
      <c r="F72" s="14" t="s">
        <v>72</v>
      </c>
      <c r="G72" s="2">
        <v>5</v>
      </c>
      <c r="H72" s="2" t="s">
        <v>8</v>
      </c>
      <c r="I72" s="2" t="s">
        <v>9</v>
      </c>
      <c r="J72" s="2">
        <v>2</v>
      </c>
      <c r="K72" s="1">
        <v>24</v>
      </c>
      <c r="L72" s="1" t="s">
        <v>59</v>
      </c>
      <c r="M72" s="1" t="s">
        <v>73</v>
      </c>
      <c r="Q72" t="e">
        <f t="shared" si="5"/>
        <v>#DIV/0!</v>
      </c>
      <c r="R72" t="e">
        <f t="shared" si="6"/>
        <v>#DIV/0!</v>
      </c>
      <c r="V72" s="99" t="e">
        <f t="shared" si="7"/>
        <v>#DIV/0!</v>
      </c>
      <c r="W72" s="99" t="e">
        <f t="shared" si="4"/>
        <v>#DIV/0!</v>
      </c>
      <c r="AE72" s="18"/>
    </row>
    <row r="73" spans="6:31">
      <c r="F73" s="14" t="s">
        <v>72</v>
      </c>
      <c r="G73" s="2">
        <v>5</v>
      </c>
      <c r="H73" s="2" t="s">
        <v>8</v>
      </c>
      <c r="I73" s="2" t="s">
        <v>9</v>
      </c>
      <c r="J73" s="2">
        <v>2</v>
      </c>
      <c r="K73" s="1">
        <v>24</v>
      </c>
      <c r="L73" s="1" t="s">
        <v>59</v>
      </c>
      <c r="M73" s="1" t="s">
        <v>75</v>
      </c>
      <c r="Q73" t="e">
        <f t="shared" si="5"/>
        <v>#DIV/0!</v>
      </c>
      <c r="R73" t="e">
        <f t="shared" si="6"/>
        <v>#DIV/0!</v>
      </c>
      <c r="V73" s="99" t="e">
        <f t="shared" si="7"/>
        <v>#DIV/0!</v>
      </c>
      <c r="W73" s="99" t="e">
        <f t="shared" si="4"/>
        <v>#DIV/0!</v>
      </c>
      <c r="AE73" s="18"/>
    </row>
    <row r="74" spans="6:31">
      <c r="F74" s="14" t="s">
        <v>72</v>
      </c>
      <c r="G74" s="2">
        <v>5</v>
      </c>
      <c r="H74" s="2" t="s">
        <v>8</v>
      </c>
      <c r="I74" s="2" t="s">
        <v>9</v>
      </c>
      <c r="J74" s="2">
        <v>2</v>
      </c>
      <c r="K74" s="1">
        <v>24</v>
      </c>
      <c r="L74" s="1" t="s">
        <v>59</v>
      </c>
      <c r="M74" s="1" t="s">
        <v>76</v>
      </c>
      <c r="Q74" t="e">
        <f t="shared" si="5"/>
        <v>#DIV/0!</v>
      </c>
      <c r="R74" t="e">
        <f t="shared" si="6"/>
        <v>#DIV/0!</v>
      </c>
      <c r="V74" s="99" t="e">
        <f t="shared" si="7"/>
        <v>#DIV/0!</v>
      </c>
      <c r="W74" s="99" t="e">
        <f t="shared" si="4"/>
        <v>#DIV/0!</v>
      </c>
      <c r="AE74" s="18"/>
    </row>
    <row r="75" spans="6:31">
      <c r="F75" s="14" t="s">
        <v>72</v>
      </c>
      <c r="G75" s="2">
        <v>5</v>
      </c>
      <c r="H75" s="2" t="s">
        <v>8</v>
      </c>
      <c r="I75" s="2" t="s">
        <v>9</v>
      </c>
      <c r="J75" s="2">
        <v>2</v>
      </c>
      <c r="K75" s="1">
        <v>25</v>
      </c>
      <c r="L75" s="1" t="s">
        <v>60</v>
      </c>
      <c r="M75" s="1" t="s">
        <v>73</v>
      </c>
      <c r="Q75" t="e">
        <f t="shared" si="5"/>
        <v>#DIV/0!</v>
      </c>
      <c r="R75" t="e">
        <f t="shared" si="6"/>
        <v>#DIV/0!</v>
      </c>
      <c r="V75" s="99" t="e">
        <f t="shared" si="7"/>
        <v>#DIV/0!</v>
      </c>
      <c r="W75" s="99" t="e">
        <f t="shared" si="4"/>
        <v>#DIV/0!</v>
      </c>
      <c r="AE75" s="18"/>
    </row>
    <row r="76" spans="6:31">
      <c r="F76" s="14" t="s">
        <v>72</v>
      </c>
      <c r="G76" s="2">
        <v>5</v>
      </c>
      <c r="H76" s="2" t="s">
        <v>8</v>
      </c>
      <c r="I76" s="2" t="s">
        <v>9</v>
      </c>
      <c r="J76" s="2">
        <v>2</v>
      </c>
      <c r="K76" s="1">
        <v>25</v>
      </c>
      <c r="L76" s="1" t="s">
        <v>60</v>
      </c>
      <c r="M76" s="1" t="s">
        <v>75</v>
      </c>
      <c r="Q76" t="e">
        <f t="shared" si="5"/>
        <v>#DIV/0!</v>
      </c>
      <c r="R76" t="e">
        <f t="shared" si="6"/>
        <v>#DIV/0!</v>
      </c>
      <c r="V76" s="99" t="e">
        <f t="shared" si="7"/>
        <v>#DIV/0!</v>
      </c>
      <c r="W76" s="99" t="e">
        <f t="shared" si="4"/>
        <v>#DIV/0!</v>
      </c>
      <c r="AE76" s="18"/>
    </row>
    <row r="77" spans="6:31" ht="15.75" thickBot="1">
      <c r="F77" s="19" t="s">
        <v>72</v>
      </c>
      <c r="G77" s="20">
        <v>5</v>
      </c>
      <c r="H77" s="20" t="s">
        <v>8</v>
      </c>
      <c r="I77" s="20" t="s">
        <v>9</v>
      </c>
      <c r="J77" s="20">
        <v>2</v>
      </c>
      <c r="K77" s="22">
        <v>25</v>
      </c>
      <c r="L77" s="22" t="s">
        <v>60</v>
      </c>
      <c r="M77" s="22" t="s">
        <v>76</v>
      </c>
      <c r="N77" s="23"/>
      <c r="O77" s="23"/>
      <c r="P77" s="23"/>
      <c r="Q77" s="23" t="e">
        <f t="shared" si="5"/>
        <v>#DIV/0!</v>
      </c>
      <c r="R77" s="23" t="e">
        <f t="shared" si="6"/>
        <v>#DIV/0!</v>
      </c>
      <c r="S77" s="23"/>
      <c r="T77" s="23"/>
      <c r="U77" s="23"/>
      <c r="V77" s="101" t="e">
        <f t="shared" si="7"/>
        <v>#DIV/0!</v>
      </c>
      <c r="W77" s="101" t="e">
        <f t="shared" si="4"/>
        <v>#DIV/0!</v>
      </c>
      <c r="X77" s="23"/>
      <c r="Y77" s="23"/>
      <c r="Z77" s="23"/>
      <c r="AA77" s="84"/>
      <c r="AB77" s="101"/>
      <c r="AC77" s="23"/>
      <c r="AD77" s="23"/>
      <c r="AE77" s="25"/>
    </row>
    <row r="78" spans="6:31">
      <c r="F78" s="30" t="s">
        <v>72</v>
      </c>
      <c r="G78" s="32">
        <v>6</v>
      </c>
      <c r="H78" s="32" t="s">
        <v>8</v>
      </c>
      <c r="I78" s="32" t="s">
        <v>11</v>
      </c>
      <c r="J78" s="39">
        <v>1</v>
      </c>
      <c r="K78" s="31">
        <v>26</v>
      </c>
      <c r="L78" s="31" t="s">
        <v>52</v>
      </c>
      <c r="M78" s="31" t="s">
        <v>73</v>
      </c>
      <c r="N78" s="37"/>
      <c r="O78" s="37"/>
      <c r="P78" s="37"/>
      <c r="Q78" s="37" t="e">
        <f t="shared" si="5"/>
        <v>#DIV/0!</v>
      </c>
      <c r="R78" s="37" t="e">
        <f t="shared" si="6"/>
        <v>#DIV/0!</v>
      </c>
      <c r="S78" s="37"/>
      <c r="T78" s="37"/>
      <c r="U78" s="37"/>
      <c r="V78" s="100" t="e">
        <f t="shared" si="7"/>
        <v>#DIV/0!</v>
      </c>
      <c r="W78" s="100" t="e">
        <f t="shared" si="4"/>
        <v>#DIV/0!</v>
      </c>
      <c r="X78" s="37"/>
      <c r="Y78" s="37"/>
      <c r="Z78" s="37"/>
      <c r="AA78" s="83"/>
      <c r="AB78" s="100"/>
      <c r="AC78" s="37"/>
      <c r="AD78" s="37"/>
      <c r="AE78" s="38"/>
    </row>
    <row r="79" spans="6:31">
      <c r="F79" s="14" t="s">
        <v>72</v>
      </c>
      <c r="G79" s="2">
        <v>6</v>
      </c>
      <c r="H79" s="2" t="s">
        <v>8</v>
      </c>
      <c r="I79" s="2" t="s">
        <v>11</v>
      </c>
      <c r="J79" s="3">
        <v>1</v>
      </c>
      <c r="K79" s="1">
        <v>26</v>
      </c>
      <c r="L79" s="1" t="s">
        <v>52</v>
      </c>
      <c r="M79" s="1" t="s">
        <v>75</v>
      </c>
      <c r="Q79" t="e">
        <f t="shared" si="5"/>
        <v>#DIV/0!</v>
      </c>
      <c r="R79" t="e">
        <f t="shared" si="6"/>
        <v>#DIV/0!</v>
      </c>
      <c r="V79" s="99" t="e">
        <f t="shared" si="7"/>
        <v>#DIV/0!</v>
      </c>
      <c r="W79" s="99" t="e">
        <f t="shared" si="4"/>
        <v>#DIV/0!</v>
      </c>
      <c r="AE79" s="18"/>
    </row>
    <row r="80" spans="6:31">
      <c r="F80" s="14" t="s">
        <v>72</v>
      </c>
      <c r="G80" s="2">
        <v>6</v>
      </c>
      <c r="H80" s="2" t="s">
        <v>8</v>
      </c>
      <c r="I80" s="2" t="s">
        <v>11</v>
      </c>
      <c r="J80" s="3">
        <v>1</v>
      </c>
      <c r="K80" s="1">
        <v>26</v>
      </c>
      <c r="L80" s="1" t="s">
        <v>52</v>
      </c>
      <c r="M80" s="1" t="s">
        <v>76</v>
      </c>
      <c r="Q80" t="e">
        <f t="shared" si="5"/>
        <v>#DIV/0!</v>
      </c>
      <c r="R80" t="e">
        <f t="shared" si="6"/>
        <v>#DIV/0!</v>
      </c>
      <c r="V80" s="99" t="e">
        <f t="shared" si="7"/>
        <v>#DIV/0!</v>
      </c>
      <c r="W80" s="99" t="e">
        <f t="shared" si="4"/>
        <v>#DIV/0!</v>
      </c>
      <c r="AE80" s="18"/>
    </row>
    <row r="81" spans="6:31">
      <c r="F81" s="14" t="s">
        <v>72</v>
      </c>
      <c r="G81" s="2">
        <v>6</v>
      </c>
      <c r="H81" s="2" t="s">
        <v>8</v>
      </c>
      <c r="I81" s="2" t="s">
        <v>11</v>
      </c>
      <c r="J81" s="3">
        <v>1</v>
      </c>
      <c r="K81" s="1">
        <v>27</v>
      </c>
      <c r="L81" s="1" t="s">
        <v>55</v>
      </c>
      <c r="M81" s="1" t="s">
        <v>73</v>
      </c>
      <c r="Q81" t="e">
        <f t="shared" si="5"/>
        <v>#DIV/0!</v>
      </c>
      <c r="R81" t="e">
        <f t="shared" si="6"/>
        <v>#DIV/0!</v>
      </c>
      <c r="V81" s="99" t="e">
        <f t="shared" si="7"/>
        <v>#DIV/0!</v>
      </c>
      <c r="W81" s="99" t="e">
        <f t="shared" si="4"/>
        <v>#DIV/0!</v>
      </c>
      <c r="AE81" s="18"/>
    </row>
    <row r="82" spans="6:31">
      <c r="F82" s="14" t="s">
        <v>72</v>
      </c>
      <c r="G82" s="2">
        <v>6</v>
      </c>
      <c r="H82" s="2" t="s">
        <v>8</v>
      </c>
      <c r="I82" s="2" t="s">
        <v>11</v>
      </c>
      <c r="J82" s="3">
        <v>1</v>
      </c>
      <c r="K82" s="1">
        <v>27</v>
      </c>
      <c r="L82" s="1" t="s">
        <v>55</v>
      </c>
      <c r="M82" s="1" t="s">
        <v>75</v>
      </c>
      <c r="Q82" t="e">
        <f t="shared" si="5"/>
        <v>#DIV/0!</v>
      </c>
      <c r="R82" t="e">
        <f t="shared" si="6"/>
        <v>#DIV/0!</v>
      </c>
      <c r="V82" s="99" t="e">
        <f t="shared" si="7"/>
        <v>#DIV/0!</v>
      </c>
      <c r="W82" s="99" t="e">
        <f t="shared" si="4"/>
        <v>#DIV/0!</v>
      </c>
      <c r="AE82" s="18"/>
    </row>
    <row r="83" spans="6:31">
      <c r="F83" s="14" t="s">
        <v>72</v>
      </c>
      <c r="G83" s="2">
        <v>6</v>
      </c>
      <c r="H83" s="2" t="s">
        <v>8</v>
      </c>
      <c r="I83" s="2" t="s">
        <v>11</v>
      </c>
      <c r="J83" s="3">
        <v>1</v>
      </c>
      <c r="K83" s="1">
        <v>27</v>
      </c>
      <c r="L83" s="1" t="s">
        <v>55</v>
      </c>
      <c r="M83" s="1" t="s">
        <v>76</v>
      </c>
      <c r="Q83" t="e">
        <f t="shared" si="5"/>
        <v>#DIV/0!</v>
      </c>
      <c r="R83" t="e">
        <f t="shared" si="6"/>
        <v>#DIV/0!</v>
      </c>
      <c r="V83" s="99" t="e">
        <f t="shared" si="7"/>
        <v>#DIV/0!</v>
      </c>
      <c r="W83" s="99" t="e">
        <f t="shared" ref="W83:W146" si="8">_xlfn.STDEV.S(S83:U83)</f>
        <v>#DIV/0!</v>
      </c>
      <c r="AE83" s="18"/>
    </row>
    <row r="84" spans="6:31">
      <c r="F84" s="14" t="s">
        <v>72</v>
      </c>
      <c r="G84" s="2">
        <v>6</v>
      </c>
      <c r="H84" s="2" t="s">
        <v>8</v>
      </c>
      <c r="I84" s="2" t="s">
        <v>11</v>
      </c>
      <c r="J84" s="3">
        <v>1</v>
      </c>
      <c r="K84" s="1">
        <v>28</v>
      </c>
      <c r="L84" s="1" t="s">
        <v>57</v>
      </c>
      <c r="M84" s="1" t="s">
        <v>73</v>
      </c>
      <c r="Q84" t="e">
        <f t="shared" si="5"/>
        <v>#DIV/0!</v>
      </c>
      <c r="R84" t="e">
        <f t="shared" si="6"/>
        <v>#DIV/0!</v>
      </c>
      <c r="V84" s="99" t="e">
        <f t="shared" si="7"/>
        <v>#DIV/0!</v>
      </c>
      <c r="W84" s="99" t="e">
        <f t="shared" si="8"/>
        <v>#DIV/0!</v>
      </c>
      <c r="AE84" s="18"/>
    </row>
    <row r="85" spans="6:31">
      <c r="F85" s="14" t="s">
        <v>72</v>
      </c>
      <c r="G85" s="2">
        <v>6</v>
      </c>
      <c r="H85" s="2" t="s">
        <v>8</v>
      </c>
      <c r="I85" s="2" t="s">
        <v>11</v>
      </c>
      <c r="J85" s="3">
        <v>1</v>
      </c>
      <c r="K85" s="1">
        <v>28</v>
      </c>
      <c r="L85" s="1" t="s">
        <v>57</v>
      </c>
      <c r="M85" s="1" t="s">
        <v>75</v>
      </c>
      <c r="Q85" t="e">
        <f t="shared" si="5"/>
        <v>#DIV/0!</v>
      </c>
      <c r="R85" t="e">
        <f t="shared" si="6"/>
        <v>#DIV/0!</v>
      </c>
      <c r="V85" s="99" t="e">
        <f t="shared" si="7"/>
        <v>#DIV/0!</v>
      </c>
      <c r="W85" s="99" t="e">
        <f t="shared" si="8"/>
        <v>#DIV/0!</v>
      </c>
      <c r="AE85" s="18"/>
    </row>
    <row r="86" spans="6:31">
      <c r="F86" s="14" t="s">
        <v>72</v>
      </c>
      <c r="G86" s="2">
        <v>6</v>
      </c>
      <c r="H86" s="2" t="s">
        <v>8</v>
      </c>
      <c r="I86" s="2" t="s">
        <v>11</v>
      </c>
      <c r="J86" s="3">
        <v>1</v>
      </c>
      <c r="K86" s="1">
        <v>28</v>
      </c>
      <c r="L86" s="1" t="s">
        <v>57</v>
      </c>
      <c r="M86" s="1" t="s">
        <v>76</v>
      </c>
      <c r="Q86" t="e">
        <f t="shared" si="5"/>
        <v>#DIV/0!</v>
      </c>
      <c r="R86" t="e">
        <f t="shared" si="6"/>
        <v>#DIV/0!</v>
      </c>
      <c r="V86" s="99" t="e">
        <f t="shared" si="7"/>
        <v>#DIV/0!</v>
      </c>
      <c r="W86" s="99" t="e">
        <f t="shared" si="8"/>
        <v>#DIV/0!</v>
      </c>
      <c r="AE86" s="18"/>
    </row>
    <row r="87" spans="6:31">
      <c r="F87" s="14" t="s">
        <v>72</v>
      </c>
      <c r="G87" s="2">
        <v>6</v>
      </c>
      <c r="H87" s="2" t="s">
        <v>8</v>
      </c>
      <c r="I87" s="2" t="s">
        <v>11</v>
      </c>
      <c r="J87" s="3">
        <v>1</v>
      </c>
      <c r="K87" s="1">
        <v>29</v>
      </c>
      <c r="L87" s="1" t="s">
        <v>59</v>
      </c>
      <c r="M87" s="1" t="s">
        <v>73</v>
      </c>
      <c r="Q87" t="e">
        <f t="shared" si="5"/>
        <v>#DIV/0!</v>
      </c>
      <c r="R87" t="e">
        <f t="shared" si="6"/>
        <v>#DIV/0!</v>
      </c>
      <c r="V87" s="99" t="e">
        <f t="shared" si="7"/>
        <v>#DIV/0!</v>
      </c>
      <c r="W87" s="99" t="e">
        <f t="shared" si="8"/>
        <v>#DIV/0!</v>
      </c>
      <c r="AE87" s="18"/>
    </row>
    <row r="88" spans="6:31">
      <c r="F88" s="14" t="s">
        <v>72</v>
      </c>
      <c r="G88" s="2">
        <v>6</v>
      </c>
      <c r="H88" s="2" t="s">
        <v>8</v>
      </c>
      <c r="I88" s="2" t="s">
        <v>11</v>
      </c>
      <c r="J88" s="3">
        <v>1</v>
      </c>
      <c r="K88" s="1">
        <v>29</v>
      </c>
      <c r="L88" s="1" t="s">
        <v>59</v>
      </c>
      <c r="M88" s="1" t="s">
        <v>75</v>
      </c>
      <c r="Q88" t="e">
        <f t="shared" si="5"/>
        <v>#DIV/0!</v>
      </c>
      <c r="R88" t="e">
        <f t="shared" si="6"/>
        <v>#DIV/0!</v>
      </c>
      <c r="V88" s="99" t="e">
        <f t="shared" si="7"/>
        <v>#DIV/0!</v>
      </c>
      <c r="W88" s="99" t="e">
        <f t="shared" si="8"/>
        <v>#DIV/0!</v>
      </c>
      <c r="AE88" s="18"/>
    </row>
    <row r="89" spans="6:31">
      <c r="F89" s="14" t="s">
        <v>72</v>
      </c>
      <c r="G89" s="2">
        <v>6</v>
      </c>
      <c r="H89" s="2" t="s">
        <v>8</v>
      </c>
      <c r="I89" s="2" t="s">
        <v>11</v>
      </c>
      <c r="J89" s="3">
        <v>1</v>
      </c>
      <c r="K89" s="1">
        <v>29</v>
      </c>
      <c r="L89" s="1" t="s">
        <v>59</v>
      </c>
      <c r="M89" s="1" t="s">
        <v>76</v>
      </c>
      <c r="Q89" t="e">
        <f t="shared" si="5"/>
        <v>#DIV/0!</v>
      </c>
      <c r="R89" t="e">
        <f t="shared" si="6"/>
        <v>#DIV/0!</v>
      </c>
      <c r="V89" s="99" t="e">
        <f t="shared" si="7"/>
        <v>#DIV/0!</v>
      </c>
      <c r="W89" s="99" t="e">
        <f t="shared" si="8"/>
        <v>#DIV/0!</v>
      </c>
      <c r="AE89" s="18"/>
    </row>
    <row r="90" spans="6:31">
      <c r="F90" s="14" t="s">
        <v>72</v>
      </c>
      <c r="G90" s="2">
        <v>6</v>
      </c>
      <c r="H90" s="2" t="s">
        <v>8</v>
      </c>
      <c r="I90" s="2" t="s">
        <v>11</v>
      </c>
      <c r="J90" s="3">
        <v>1</v>
      </c>
      <c r="K90" s="1">
        <v>30</v>
      </c>
      <c r="L90" s="1" t="s">
        <v>60</v>
      </c>
      <c r="M90" s="1" t="s">
        <v>73</v>
      </c>
      <c r="Q90" t="e">
        <f t="shared" si="5"/>
        <v>#DIV/0!</v>
      </c>
      <c r="R90" t="e">
        <f t="shared" si="6"/>
        <v>#DIV/0!</v>
      </c>
      <c r="V90" s="99" t="e">
        <f t="shared" si="7"/>
        <v>#DIV/0!</v>
      </c>
      <c r="W90" s="99" t="e">
        <f t="shared" si="8"/>
        <v>#DIV/0!</v>
      </c>
      <c r="AE90" s="18"/>
    </row>
    <row r="91" spans="6:31">
      <c r="F91" s="14" t="s">
        <v>72</v>
      </c>
      <c r="G91" s="2">
        <v>6</v>
      </c>
      <c r="H91" s="2" t="s">
        <v>8</v>
      </c>
      <c r="I91" s="2" t="s">
        <v>11</v>
      </c>
      <c r="J91" s="3">
        <v>1</v>
      </c>
      <c r="K91" s="1">
        <v>30</v>
      </c>
      <c r="L91" s="1" t="s">
        <v>60</v>
      </c>
      <c r="M91" s="1" t="s">
        <v>75</v>
      </c>
      <c r="Q91" t="e">
        <f t="shared" si="5"/>
        <v>#DIV/0!</v>
      </c>
      <c r="R91" t="e">
        <f t="shared" si="6"/>
        <v>#DIV/0!</v>
      </c>
      <c r="V91" s="99" t="e">
        <f t="shared" si="7"/>
        <v>#DIV/0!</v>
      </c>
      <c r="W91" s="99" t="e">
        <f t="shared" si="8"/>
        <v>#DIV/0!</v>
      </c>
      <c r="AE91" s="18"/>
    </row>
    <row r="92" spans="6:31" ht="15.75" thickBot="1">
      <c r="F92" s="19" t="s">
        <v>72</v>
      </c>
      <c r="G92" s="20">
        <v>6</v>
      </c>
      <c r="H92" s="20" t="s">
        <v>8</v>
      </c>
      <c r="I92" s="20" t="s">
        <v>11</v>
      </c>
      <c r="J92" s="21">
        <v>1</v>
      </c>
      <c r="K92" s="22">
        <v>30</v>
      </c>
      <c r="L92" s="22" t="s">
        <v>60</v>
      </c>
      <c r="M92" s="22" t="s">
        <v>76</v>
      </c>
      <c r="N92" s="23"/>
      <c r="O92" s="23"/>
      <c r="P92" s="23"/>
      <c r="Q92" s="23" t="e">
        <f t="shared" si="5"/>
        <v>#DIV/0!</v>
      </c>
      <c r="R92" s="23" t="e">
        <f t="shared" si="6"/>
        <v>#DIV/0!</v>
      </c>
      <c r="S92" s="23"/>
      <c r="T92" s="23"/>
      <c r="U92" s="23"/>
      <c r="V92" s="101" t="e">
        <f t="shared" si="7"/>
        <v>#DIV/0!</v>
      </c>
      <c r="W92" s="101" t="e">
        <f t="shared" si="8"/>
        <v>#DIV/0!</v>
      </c>
      <c r="X92" s="23"/>
      <c r="Y92" s="23"/>
      <c r="Z92" s="23"/>
      <c r="AA92" s="84"/>
      <c r="AB92" s="101"/>
      <c r="AC92" s="23"/>
      <c r="AD92" s="23"/>
      <c r="AE92" s="25"/>
    </row>
    <row r="93" spans="6:31">
      <c r="F93" s="30" t="s">
        <v>72</v>
      </c>
      <c r="G93" s="39">
        <v>7</v>
      </c>
      <c r="H93" s="39" t="s">
        <v>12</v>
      </c>
      <c r="I93" s="39" t="s">
        <v>11</v>
      </c>
      <c r="J93" s="39">
        <v>1</v>
      </c>
      <c r="K93" s="31">
        <v>31</v>
      </c>
      <c r="L93" s="31" t="s">
        <v>52</v>
      </c>
      <c r="M93" s="31" t="s">
        <v>73</v>
      </c>
      <c r="N93" s="37"/>
      <c r="O93" s="37"/>
      <c r="P93" s="37"/>
      <c r="Q93" s="37" t="e">
        <f t="shared" si="5"/>
        <v>#DIV/0!</v>
      </c>
      <c r="R93" s="37" t="e">
        <f t="shared" si="6"/>
        <v>#DIV/0!</v>
      </c>
      <c r="S93" s="37"/>
      <c r="T93" s="37"/>
      <c r="U93" s="37"/>
      <c r="V93" s="100" t="e">
        <f t="shared" si="7"/>
        <v>#DIV/0!</v>
      </c>
      <c r="W93" s="100" t="e">
        <f t="shared" si="8"/>
        <v>#DIV/0!</v>
      </c>
      <c r="X93" s="37"/>
      <c r="Y93" s="37"/>
      <c r="Z93" s="37"/>
      <c r="AA93" s="83"/>
      <c r="AB93" s="100"/>
      <c r="AC93" s="37"/>
      <c r="AD93" s="37"/>
      <c r="AE93" s="38"/>
    </row>
    <row r="94" spans="6:31">
      <c r="F94" s="14" t="s">
        <v>72</v>
      </c>
      <c r="G94" s="3">
        <v>7</v>
      </c>
      <c r="H94" s="3" t="s">
        <v>12</v>
      </c>
      <c r="I94" s="3" t="s">
        <v>11</v>
      </c>
      <c r="J94" s="3">
        <v>1</v>
      </c>
      <c r="K94" s="1">
        <v>31</v>
      </c>
      <c r="L94" s="1" t="s">
        <v>52</v>
      </c>
      <c r="M94" s="1" t="s">
        <v>75</v>
      </c>
      <c r="Q94" t="e">
        <f t="shared" si="5"/>
        <v>#DIV/0!</v>
      </c>
      <c r="R94" t="e">
        <f t="shared" si="6"/>
        <v>#DIV/0!</v>
      </c>
      <c r="V94" s="99" t="e">
        <f t="shared" si="7"/>
        <v>#DIV/0!</v>
      </c>
      <c r="W94" s="99" t="e">
        <f t="shared" si="8"/>
        <v>#DIV/0!</v>
      </c>
      <c r="AE94" s="18"/>
    </row>
    <row r="95" spans="6:31">
      <c r="F95" s="14" t="s">
        <v>72</v>
      </c>
      <c r="G95" s="3">
        <v>7</v>
      </c>
      <c r="H95" s="3" t="s">
        <v>12</v>
      </c>
      <c r="I95" s="3" t="s">
        <v>11</v>
      </c>
      <c r="J95" s="3">
        <v>1</v>
      </c>
      <c r="K95" s="1">
        <v>31</v>
      </c>
      <c r="L95" s="1" t="s">
        <v>52</v>
      </c>
      <c r="M95" s="1" t="s">
        <v>76</v>
      </c>
      <c r="Q95" t="e">
        <f t="shared" si="5"/>
        <v>#DIV/0!</v>
      </c>
      <c r="R95" t="e">
        <f t="shared" si="6"/>
        <v>#DIV/0!</v>
      </c>
      <c r="V95" s="99" t="e">
        <f t="shared" si="7"/>
        <v>#DIV/0!</v>
      </c>
      <c r="W95" s="99" t="e">
        <f t="shared" si="8"/>
        <v>#DIV/0!</v>
      </c>
      <c r="AE95" s="18"/>
    </row>
    <row r="96" spans="6:31">
      <c r="F96" s="14" t="s">
        <v>72</v>
      </c>
      <c r="G96" s="3">
        <v>7</v>
      </c>
      <c r="H96" s="3" t="s">
        <v>12</v>
      </c>
      <c r="I96" s="3" t="s">
        <v>11</v>
      </c>
      <c r="J96" s="3">
        <v>1</v>
      </c>
      <c r="K96" s="1">
        <v>32</v>
      </c>
      <c r="L96" s="1" t="s">
        <v>55</v>
      </c>
      <c r="M96" s="1" t="s">
        <v>73</v>
      </c>
      <c r="Q96" t="e">
        <f t="shared" si="5"/>
        <v>#DIV/0!</v>
      </c>
      <c r="R96" t="e">
        <f t="shared" si="6"/>
        <v>#DIV/0!</v>
      </c>
      <c r="V96" s="99" t="e">
        <f t="shared" si="7"/>
        <v>#DIV/0!</v>
      </c>
      <c r="W96" s="99" t="e">
        <f t="shared" si="8"/>
        <v>#DIV/0!</v>
      </c>
      <c r="AE96" s="18"/>
    </row>
    <row r="97" spans="6:31">
      <c r="F97" s="14" t="s">
        <v>72</v>
      </c>
      <c r="G97" s="3">
        <v>7</v>
      </c>
      <c r="H97" s="3" t="s">
        <v>12</v>
      </c>
      <c r="I97" s="3" t="s">
        <v>11</v>
      </c>
      <c r="J97" s="3">
        <v>1</v>
      </c>
      <c r="K97" s="1">
        <v>32</v>
      </c>
      <c r="L97" s="1" t="s">
        <v>55</v>
      </c>
      <c r="M97" s="1" t="s">
        <v>75</v>
      </c>
      <c r="Q97" t="e">
        <f t="shared" si="5"/>
        <v>#DIV/0!</v>
      </c>
      <c r="R97" t="e">
        <f t="shared" si="6"/>
        <v>#DIV/0!</v>
      </c>
      <c r="V97" s="99" t="e">
        <f t="shared" si="7"/>
        <v>#DIV/0!</v>
      </c>
      <c r="W97" s="99" t="e">
        <f t="shared" si="8"/>
        <v>#DIV/0!</v>
      </c>
      <c r="AE97" s="18"/>
    </row>
    <row r="98" spans="6:31">
      <c r="F98" s="14" t="s">
        <v>72</v>
      </c>
      <c r="G98" s="3">
        <v>7</v>
      </c>
      <c r="H98" s="3" t="s">
        <v>12</v>
      </c>
      <c r="I98" s="3" t="s">
        <v>11</v>
      </c>
      <c r="J98" s="3">
        <v>1</v>
      </c>
      <c r="K98" s="1">
        <v>32</v>
      </c>
      <c r="L98" s="1" t="s">
        <v>55</v>
      </c>
      <c r="M98" s="1" t="s">
        <v>76</v>
      </c>
      <c r="Q98" t="e">
        <f t="shared" si="5"/>
        <v>#DIV/0!</v>
      </c>
      <c r="R98" t="e">
        <f t="shared" si="6"/>
        <v>#DIV/0!</v>
      </c>
      <c r="V98" s="99" t="e">
        <f t="shared" si="7"/>
        <v>#DIV/0!</v>
      </c>
      <c r="W98" s="99" t="e">
        <f t="shared" si="8"/>
        <v>#DIV/0!</v>
      </c>
      <c r="AE98" s="18"/>
    </row>
    <row r="99" spans="6:31">
      <c r="F99" s="14" t="s">
        <v>72</v>
      </c>
      <c r="G99" s="3">
        <v>7</v>
      </c>
      <c r="H99" s="3" t="s">
        <v>12</v>
      </c>
      <c r="I99" s="3" t="s">
        <v>11</v>
      </c>
      <c r="J99" s="3">
        <v>1</v>
      </c>
      <c r="K99" s="1">
        <v>33</v>
      </c>
      <c r="L99" s="1" t="s">
        <v>57</v>
      </c>
      <c r="M99" s="1" t="s">
        <v>73</v>
      </c>
      <c r="Q99" t="e">
        <f t="shared" si="5"/>
        <v>#DIV/0!</v>
      </c>
      <c r="R99" t="e">
        <f t="shared" si="6"/>
        <v>#DIV/0!</v>
      </c>
      <c r="V99" s="99" t="e">
        <f t="shared" si="7"/>
        <v>#DIV/0!</v>
      </c>
      <c r="W99" s="99" t="e">
        <f t="shared" si="8"/>
        <v>#DIV/0!</v>
      </c>
      <c r="AE99" s="18"/>
    </row>
    <row r="100" spans="6:31">
      <c r="F100" s="14" t="s">
        <v>72</v>
      </c>
      <c r="G100" s="3">
        <v>7</v>
      </c>
      <c r="H100" s="3" t="s">
        <v>12</v>
      </c>
      <c r="I100" s="3" t="s">
        <v>11</v>
      </c>
      <c r="J100" s="3">
        <v>1</v>
      </c>
      <c r="K100" s="1">
        <v>33</v>
      </c>
      <c r="L100" s="1" t="s">
        <v>57</v>
      </c>
      <c r="M100" s="1" t="s">
        <v>75</v>
      </c>
      <c r="Q100" t="e">
        <f t="shared" si="5"/>
        <v>#DIV/0!</v>
      </c>
      <c r="R100" t="e">
        <f t="shared" si="6"/>
        <v>#DIV/0!</v>
      </c>
      <c r="V100" s="99" t="e">
        <f t="shared" si="7"/>
        <v>#DIV/0!</v>
      </c>
      <c r="W100" s="99" t="e">
        <f t="shared" si="8"/>
        <v>#DIV/0!</v>
      </c>
      <c r="AE100" s="18"/>
    </row>
    <row r="101" spans="6:31">
      <c r="F101" s="14" t="s">
        <v>72</v>
      </c>
      <c r="G101" s="3">
        <v>7</v>
      </c>
      <c r="H101" s="3" t="s">
        <v>12</v>
      </c>
      <c r="I101" s="3" t="s">
        <v>11</v>
      </c>
      <c r="J101" s="3">
        <v>1</v>
      </c>
      <c r="K101" s="1">
        <v>33</v>
      </c>
      <c r="L101" s="1" t="s">
        <v>57</v>
      </c>
      <c r="M101" s="1" t="s">
        <v>76</v>
      </c>
      <c r="Q101" t="e">
        <f t="shared" si="5"/>
        <v>#DIV/0!</v>
      </c>
      <c r="R101" t="e">
        <f t="shared" si="6"/>
        <v>#DIV/0!</v>
      </c>
      <c r="V101" s="99" t="e">
        <f t="shared" si="7"/>
        <v>#DIV/0!</v>
      </c>
      <c r="W101" s="99" t="e">
        <f t="shared" si="8"/>
        <v>#DIV/0!</v>
      </c>
      <c r="AE101" s="18"/>
    </row>
    <row r="102" spans="6:31">
      <c r="F102" s="14" t="s">
        <v>72</v>
      </c>
      <c r="G102" s="3">
        <v>7</v>
      </c>
      <c r="H102" s="3" t="s">
        <v>12</v>
      </c>
      <c r="I102" s="3" t="s">
        <v>11</v>
      </c>
      <c r="J102" s="3">
        <v>1</v>
      </c>
      <c r="K102" s="1">
        <v>34</v>
      </c>
      <c r="L102" s="1" t="s">
        <v>59</v>
      </c>
      <c r="M102" s="1" t="s">
        <v>73</v>
      </c>
      <c r="Q102" t="e">
        <f t="shared" si="5"/>
        <v>#DIV/0!</v>
      </c>
      <c r="R102" t="e">
        <f t="shared" si="6"/>
        <v>#DIV/0!</v>
      </c>
      <c r="V102" s="99" t="e">
        <f t="shared" si="7"/>
        <v>#DIV/0!</v>
      </c>
      <c r="W102" s="99" t="e">
        <f t="shared" si="8"/>
        <v>#DIV/0!</v>
      </c>
      <c r="AE102" s="18"/>
    </row>
    <row r="103" spans="6:31">
      <c r="F103" s="14" t="s">
        <v>72</v>
      </c>
      <c r="G103" s="3">
        <v>7</v>
      </c>
      <c r="H103" s="3" t="s">
        <v>12</v>
      </c>
      <c r="I103" s="3" t="s">
        <v>11</v>
      </c>
      <c r="J103" s="3">
        <v>1</v>
      </c>
      <c r="K103" s="1">
        <v>34</v>
      </c>
      <c r="L103" s="1" t="s">
        <v>59</v>
      </c>
      <c r="M103" s="1" t="s">
        <v>75</v>
      </c>
      <c r="Q103" t="e">
        <f t="shared" si="5"/>
        <v>#DIV/0!</v>
      </c>
      <c r="R103" t="e">
        <f t="shared" si="6"/>
        <v>#DIV/0!</v>
      </c>
      <c r="V103" s="99" t="e">
        <f t="shared" si="7"/>
        <v>#DIV/0!</v>
      </c>
      <c r="W103" s="99" t="e">
        <f t="shared" si="8"/>
        <v>#DIV/0!</v>
      </c>
      <c r="AE103" s="18"/>
    </row>
    <row r="104" spans="6:31">
      <c r="F104" s="14" t="s">
        <v>72</v>
      </c>
      <c r="G104" s="3">
        <v>7</v>
      </c>
      <c r="H104" s="3" t="s">
        <v>12</v>
      </c>
      <c r="I104" s="3" t="s">
        <v>11</v>
      </c>
      <c r="J104" s="3">
        <v>1</v>
      </c>
      <c r="K104" s="1">
        <v>34</v>
      </c>
      <c r="L104" s="1" t="s">
        <v>59</v>
      </c>
      <c r="M104" s="1" t="s">
        <v>76</v>
      </c>
      <c r="Q104" t="e">
        <f t="shared" si="5"/>
        <v>#DIV/0!</v>
      </c>
      <c r="R104" t="e">
        <f t="shared" si="6"/>
        <v>#DIV/0!</v>
      </c>
      <c r="V104" s="99" t="e">
        <f t="shared" si="7"/>
        <v>#DIV/0!</v>
      </c>
      <c r="W104" s="99" t="e">
        <f t="shared" si="8"/>
        <v>#DIV/0!</v>
      </c>
      <c r="AE104" s="18"/>
    </row>
    <row r="105" spans="6:31">
      <c r="F105" s="14" t="s">
        <v>72</v>
      </c>
      <c r="G105" s="3">
        <v>7</v>
      </c>
      <c r="H105" s="3" t="s">
        <v>12</v>
      </c>
      <c r="I105" s="3" t="s">
        <v>11</v>
      </c>
      <c r="J105" s="3">
        <v>1</v>
      </c>
      <c r="K105" s="1">
        <v>35</v>
      </c>
      <c r="L105" s="1" t="s">
        <v>60</v>
      </c>
      <c r="M105" s="1" t="s">
        <v>73</v>
      </c>
      <c r="Q105" t="e">
        <f t="shared" si="5"/>
        <v>#DIV/0!</v>
      </c>
      <c r="R105" t="e">
        <f t="shared" si="6"/>
        <v>#DIV/0!</v>
      </c>
      <c r="V105" s="99" t="e">
        <f t="shared" si="7"/>
        <v>#DIV/0!</v>
      </c>
      <c r="W105" s="99" t="e">
        <f t="shared" si="8"/>
        <v>#DIV/0!</v>
      </c>
      <c r="AE105" s="18"/>
    </row>
    <row r="106" spans="6:31">
      <c r="F106" s="14" t="s">
        <v>72</v>
      </c>
      <c r="G106" s="3">
        <v>7</v>
      </c>
      <c r="H106" s="3" t="s">
        <v>12</v>
      </c>
      <c r="I106" s="3" t="s">
        <v>11</v>
      </c>
      <c r="J106" s="3">
        <v>1</v>
      </c>
      <c r="K106" s="1">
        <v>35</v>
      </c>
      <c r="L106" s="1" t="s">
        <v>60</v>
      </c>
      <c r="M106" s="1" t="s">
        <v>75</v>
      </c>
      <c r="Q106" t="e">
        <f t="shared" si="5"/>
        <v>#DIV/0!</v>
      </c>
      <c r="R106" t="e">
        <f t="shared" si="6"/>
        <v>#DIV/0!</v>
      </c>
      <c r="V106" s="99" t="e">
        <f t="shared" si="7"/>
        <v>#DIV/0!</v>
      </c>
      <c r="W106" s="99" t="e">
        <f t="shared" si="8"/>
        <v>#DIV/0!</v>
      </c>
      <c r="AE106" s="18"/>
    </row>
    <row r="107" spans="6:31" ht="15.75" thickBot="1">
      <c r="F107" s="19" t="s">
        <v>72</v>
      </c>
      <c r="G107" s="21">
        <v>7</v>
      </c>
      <c r="H107" s="21" t="s">
        <v>12</v>
      </c>
      <c r="I107" s="21" t="s">
        <v>11</v>
      </c>
      <c r="J107" s="21">
        <v>1</v>
      </c>
      <c r="K107" s="22">
        <v>35</v>
      </c>
      <c r="L107" s="22" t="s">
        <v>60</v>
      </c>
      <c r="M107" s="22" t="s">
        <v>76</v>
      </c>
      <c r="N107" s="23"/>
      <c r="O107" s="23"/>
      <c r="P107" s="23"/>
      <c r="Q107" s="23" t="e">
        <f t="shared" si="5"/>
        <v>#DIV/0!</v>
      </c>
      <c r="R107" s="23" t="e">
        <f t="shared" si="6"/>
        <v>#DIV/0!</v>
      </c>
      <c r="S107" s="23"/>
      <c r="T107" s="23"/>
      <c r="U107" s="23"/>
      <c r="V107" s="101" t="e">
        <f t="shared" si="7"/>
        <v>#DIV/0!</v>
      </c>
      <c r="W107" s="101" t="e">
        <f t="shared" si="8"/>
        <v>#DIV/0!</v>
      </c>
      <c r="X107" s="23"/>
      <c r="Y107" s="23"/>
      <c r="Z107" s="23"/>
      <c r="AA107" s="84"/>
      <c r="AB107" s="101"/>
      <c r="AC107" s="23"/>
      <c r="AD107" s="23"/>
      <c r="AE107" s="25"/>
    </row>
    <row r="108" spans="6:31">
      <c r="F108" s="30" t="s">
        <v>72</v>
      </c>
      <c r="G108" s="32">
        <v>8</v>
      </c>
      <c r="H108" s="32" t="s">
        <v>10</v>
      </c>
      <c r="I108" s="32" t="s">
        <v>11</v>
      </c>
      <c r="J108" s="32">
        <v>2</v>
      </c>
      <c r="K108" s="31">
        <v>36</v>
      </c>
      <c r="L108" s="31" t="s">
        <v>52</v>
      </c>
      <c r="M108" s="31" t="s">
        <v>73</v>
      </c>
      <c r="N108" s="37"/>
      <c r="O108" s="37"/>
      <c r="P108" s="37"/>
      <c r="Q108" s="37" t="e">
        <f t="shared" si="5"/>
        <v>#DIV/0!</v>
      </c>
      <c r="R108" s="37" t="e">
        <f t="shared" si="6"/>
        <v>#DIV/0!</v>
      </c>
      <c r="S108" s="37"/>
      <c r="T108" s="37"/>
      <c r="U108" s="37"/>
      <c r="V108" s="100" t="e">
        <f t="shared" si="7"/>
        <v>#DIV/0!</v>
      </c>
      <c r="W108" s="100" t="e">
        <f t="shared" si="8"/>
        <v>#DIV/0!</v>
      </c>
      <c r="X108" s="37"/>
      <c r="Y108" s="37"/>
      <c r="Z108" s="37"/>
      <c r="AA108" s="83"/>
      <c r="AB108" s="100"/>
      <c r="AC108" s="37"/>
      <c r="AD108" s="37"/>
      <c r="AE108" s="38"/>
    </row>
    <row r="109" spans="6:31">
      <c r="F109" s="14" t="s">
        <v>72</v>
      </c>
      <c r="G109" s="2">
        <v>8</v>
      </c>
      <c r="H109" s="2" t="s">
        <v>10</v>
      </c>
      <c r="I109" s="2" t="s">
        <v>11</v>
      </c>
      <c r="J109" s="2">
        <v>2</v>
      </c>
      <c r="K109" s="1">
        <v>36</v>
      </c>
      <c r="L109" s="1" t="s">
        <v>52</v>
      </c>
      <c r="M109" s="1" t="s">
        <v>75</v>
      </c>
      <c r="Q109" t="e">
        <f t="shared" si="5"/>
        <v>#DIV/0!</v>
      </c>
      <c r="R109" t="e">
        <f t="shared" si="6"/>
        <v>#DIV/0!</v>
      </c>
      <c r="V109" s="99" t="e">
        <f t="shared" si="7"/>
        <v>#DIV/0!</v>
      </c>
      <c r="W109" s="99" t="e">
        <f t="shared" si="8"/>
        <v>#DIV/0!</v>
      </c>
      <c r="AE109" s="18"/>
    </row>
    <row r="110" spans="6:31">
      <c r="F110" s="14" t="s">
        <v>72</v>
      </c>
      <c r="G110" s="2">
        <v>8</v>
      </c>
      <c r="H110" s="2" t="s">
        <v>10</v>
      </c>
      <c r="I110" s="2" t="s">
        <v>11</v>
      </c>
      <c r="J110" s="2">
        <v>2</v>
      </c>
      <c r="K110" s="1">
        <v>36</v>
      </c>
      <c r="L110" s="1" t="s">
        <v>52</v>
      </c>
      <c r="M110" s="1" t="s">
        <v>76</v>
      </c>
      <c r="Q110" t="e">
        <f t="shared" si="5"/>
        <v>#DIV/0!</v>
      </c>
      <c r="R110" t="e">
        <f t="shared" si="6"/>
        <v>#DIV/0!</v>
      </c>
      <c r="V110" s="99" t="e">
        <f t="shared" si="7"/>
        <v>#DIV/0!</v>
      </c>
      <c r="W110" s="99" t="e">
        <f t="shared" si="8"/>
        <v>#DIV/0!</v>
      </c>
      <c r="AE110" s="18"/>
    </row>
    <row r="111" spans="6:31">
      <c r="F111" s="14" t="s">
        <v>72</v>
      </c>
      <c r="G111" s="2">
        <v>8</v>
      </c>
      <c r="H111" s="2" t="s">
        <v>10</v>
      </c>
      <c r="I111" s="2" t="s">
        <v>11</v>
      </c>
      <c r="J111" s="2">
        <v>2</v>
      </c>
      <c r="K111" s="1">
        <v>37</v>
      </c>
      <c r="L111" s="1" t="s">
        <v>55</v>
      </c>
      <c r="M111" s="1" t="s">
        <v>73</v>
      </c>
      <c r="Q111" t="e">
        <f t="shared" si="5"/>
        <v>#DIV/0!</v>
      </c>
      <c r="R111" t="e">
        <f t="shared" si="6"/>
        <v>#DIV/0!</v>
      </c>
      <c r="V111" s="99" t="e">
        <f t="shared" si="7"/>
        <v>#DIV/0!</v>
      </c>
      <c r="W111" s="99" t="e">
        <f t="shared" si="8"/>
        <v>#DIV/0!</v>
      </c>
      <c r="AE111" s="18"/>
    </row>
    <row r="112" spans="6:31">
      <c r="F112" s="14" t="s">
        <v>72</v>
      </c>
      <c r="G112" s="2">
        <v>8</v>
      </c>
      <c r="H112" s="2" t="s">
        <v>10</v>
      </c>
      <c r="I112" s="2" t="s">
        <v>11</v>
      </c>
      <c r="J112" s="2">
        <v>2</v>
      </c>
      <c r="K112" s="1">
        <v>37</v>
      </c>
      <c r="L112" s="1" t="s">
        <v>55</v>
      </c>
      <c r="M112" s="1" t="s">
        <v>75</v>
      </c>
      <c r="Q112" t="e">
        <f t="shared" si="5"/>
        <v>#DIV/0!</v>
      </c>
      <c r="R112" t="e">
        <f t="shared" si="6"/>
        <v>#DIV/0!</v>
      </c>
      <c r="V112" s="99" t="e">
        <f t="shared" si="7"/>
        <v>#DIV/0!</v>
      </c>
      <c r="W112" s="99" t="e">
        <f t="shared" si="8"/>
        <v>#DIV/0!</v>
      </c>
      <c r="AE112" s="18"/>
    </row>
    <row r="113" spans="6:31">
      <c r="F113" s="14" t="s">
        <v>72</v>
      </c>
      <c r="G113" s="2">
        <v>8</v>
      </c>
      <c r="H113" s="2" t="s">
        <v>10</v>
      </c>
      <c r="I113" s="2" t="s">
        <v>11</v>
      </c>
      <c r="J113" s="2">
        <v>2</v>
      </c>
      <c r="K113" s="1">
        <v>37</v>
      </c>
      <c r="L113" s="1" t="s">
        <v>55</v>
      </c>
      <c r="M113" s="1" t="s">
        <v>76</v>
      </c>
      <c r="Q113" t="e">
        <f t="shared" si="5"/>
        <v>#DIV/0!</v>
      </c>
      <c r="R113" t="e">
        <f t="shared" si="6"/>
        <v>#DIV/0!</v>
      </c>
      <c r="V113" s="99" t="e">
        <f t="shared" si="7"/>
        <v>#DIV/0!</v>
      </c>
      <c r="W113" s="99" t="e">
        <f t="shared" si="8"/>
        <v>#DIV/0!</v>
      </c>
      <c r="AE113" s="18"/>
    </row>
    <row r="114" spans="6:31">
      <c r="F114" s="14" t="s">
        <v>72</v>
      </c>
      <c r="G114" s="2">
        <v>8</v>
      </c>
      <c r="H114" s="2" t="s">
        <v>10</v>
      </c>
      <c r="I114" s="2" t="s">
        <v>11</v>
      </c>
      <c r="J114" s="2">
        <v>2</v>
      </c>
      <c r="K114" s="1">
        <v>38</v>
      </c>
      <c r="L114" s="1" t="s">
        <v>57</v>
      </c>
      <c r="M114" s="1" t="s">
        <v>73</v>
      </c>
      <c r="Q114" t="e">
        <f t="shared" si="5"/>
        <v>#DIV/0!</v>
      </c>
      <c r="R114" t="e">
        <f t="shared" si="6"/>
        <v>#DIV/0!</v>
      </c>
      <c r="V114" s="99" t="e">
        <f t="shared" si="7"/>
        <v>#DIV/0!</v>
      </c>
      <c r="W114" s="99" t="e">
        <f t="shared" si="8"/>
        <v>#DIV/0!</v>
      </c>
      <c r="AE114" s="18"/>
    </row>
    <row r="115" spans="6:31">
      <c r="F115" s="14" t="s">
        <v>72</v>
      </c>
      <c r="G115" s="2">
        <v>8</v>
      </c>
      <c r="H115" s="2" t="s">
        <v>10</v>
      </c>
      <c r="I115" s="2" t="s">
        <v>11</v>
      </c>
      <c r="J115" s="2">
        <v>2</v>
      </c>
      <c r="K115" s="1">
        <v>38</v>
      </c>
      <c r="L115" s="1" t="s">
        <v>57</v>
      </c>
      <c r="M115" s="1" t="s">
        <v>75</v>
      </c>
      <c r="Q115" t="e">
        <f t="shared" si="5"/>
        <v>#DIV/0!</v>
      </c>
      <c r="R115" t="e">
        <f t="shared" si="6"/>
        <v>#DIV/0!</v>
      </c>
      <c r="V115" s="99" t="e">
        <f t="shared" si="7"/>
        <v>#DIV/0!</v>
      </c>
      <c r="W115" s="99" t="e">
        <f t="shared" si="8"/>
        <v>#DIV/0!</v>
      </c>
      <c r="AE115" s="18"/>
    </row>
    <row r="116" spans="6:31">
      <c r="F116" s="14" t="s">
        <v>72</v>
      </c>
      <c r="G116" s="2">
        <v>8</v>
      </c>
      <c r="H116" s="2" t="s">
        <v>10</v>
      </c>
      <c r="I116" s="2" t="s">
        <v>11</v>
      </c>
      <c r="J116" s="2">
        <v>2</v>
      </c>
      <c r="K116" s="1">
        <v>38</v>
      </c>
      <c r="L116" s="1" t="s">
        <v>57</v>
      </c>
      <c r="M116" s="1" t="s">
        <v>76</v>
      </c>
      <c r="Q116" t="e">
        <f t="shared" si="5"/>
        <v>#DIV/0!</v>
      </c>
      <c r="R116" t="e">
        <f t="shared" si="6"/>
        <v>#DIV/0!</v>
      </c>
      <c r="V116" s="99" t="e">
        <f t="shared" si="7"/>
        <v>#DIV/0!</v>
      </c>
      <c r="W116" s="99" t="e">
        <f t="shared" si="8"/>
        <v>#DIV/0!</v>
      </c>
      <c r="AE116" s="18"/>
    </row>
    <row r="117" spans="6:31">
      <c r="F117" s="14" t="s">
        <v>72</v>
      </c>
      <c r="G117" s="2">
        <v>8</v>
      </c>
      <c r="H117" s="2" t="s">
        <v>10</v>
      </c>
      <c r="I117" s="2" t="s">
        <v>11</v>
      </c>
      <c r="J117" s="2">
        <v>2</v>
      </c>
      <c r="K117" s="1">
        <v>39</v>
      </c>
      <c r="L117" s="1" t="s">
        <v>59</v>
      </c>
      <c r="M117" s="1" t="s">
        <v>73</v>
      </c>
      <c r="Q117" t="e">
        <f t="shared" si="5"/>
        <v>#DIV/0!</v>
      </c>
      <c r="R117" t="e">
        <f t="shared" si="6"/>
        <v>#DIV/0!</v>
      </c>
      <c r="V117" s="99" t="e">
        <f t="shared" si="7"/>
        <v>#DIV/0!</v>
      </c>
      <c r="W117" s="99" t="e">
        <f t="shared" si="8"/>
        <v>#DIV/0!</v>
      </c>
      <c r="AE117" s="18"/>
    </row>
    <row r="118" spans="6:31">
      <c r="F118" s="14" t="s">
        <v>72</v>
      </c>
      <c r="G118" s="2">
        <v>8</v>
      </c>
      <c r="H118" s="2" t="s">
        <v>10</v>
      </c>
      <c r="I118" s="2" t="s">
        <v>11</v>
      </c>
      <c r="J118" s="2">
        <v>2</v>
      </c>
      <c r="K118" s="1">
        <v>39</v>
      </c>
      <c r="L118" s="1" t="s">
        <v>59</v>
      </c>
      <c r="M118" s="1" t="s">
        <v>75</v>
      </c>
      <c r="Q118" t="e">
        <f t="shared" si="5"/>
        <v>#DIV/0!</v>
      </c>
      <c r="R118" t="e">
        <f t="shared" si="6"/>
        <v>#DIV/0!</v>
      </c>
      <c r="V118" s="99" t="e">
        <f t="shared" si="7"/>
        <v>#DIV/0!</v>
      </c>
      <c r="W118" s="99" t="e">
        <f t="shared" si="8"/>
        <v>#DIV/0!</v>
      </c>
      <c r="AE118" s="18"/>
    </row>
    <row r="119" spans="6:31">
      <c r="F119" s="14" t="s">
        <v>72</v>
      </c>
      <c r="G119" s="2">
        <v>8</v>
      </c>
      <c r="H119" s="2" t="s">
        <v>10</v>
      </c>
      <c r="I119" s="2" t="s">
        <v>11</v>
      </c>
      <c r="J119" s="2">
        <v>2</v>
      </c>
      <c r="K119" s="1">
        <v>39</v>
      </c>
      <c r="L119" s="1" t="s">
        <v>59</v>
      </c>
      <c r="M119" s="1" t="s">
        <v>76</v>
      </c>
      <c r="Q119" t="e">
        <f t="shared" si="5"/>
        <v>#DIV/0!</v>
      </c>
      <c r="R119" t="e">
        <f t="shared" si="6"/>
        <v>#DIV/0!</v>
      </c>
      <c r="V119" s="99" t="e">
        <f t="shared" si="7"/>
        <v>#DIV/0!</v>
      </c>
      <c r="W119" s="99" t="e">
        <f t="shared" si="8"/>
        <v>#DIV/0!</v>
      </c>
      <c r="AE119" s="18"/>
    </row>
    <row r="120" spans="6:31">
      <c r="F120" s="14" t="s">
        <v>72</v>
      </c>
      <c r="G120" s="2">
        <v>8</v>
      </c>
      <c r="H120" s="2" t="s">
        <v>10</v>
      </c>
      <c r="I120" s="2" t="s">
        <v>11</v>
      </c>
      <c r="J120" s="2">
        <v>2</v>
      </c>
      <c r="K120" s="1">
        <v>40</v>
      </c>
      <c r="L120" s="1" t="s">
        <v>60</v>
      </c>
      <c r="M120" s="1" t="s">
        <v>73</v>
      </c>
      <c r="Q120" t="e">
        <f t="shared" si="5"/>
        <v>#DIV/0!</v>
      </c>
      <c r="R120" t="e">
        <f t="shared" si="6"/>
        <v>#DIV/0!</v>
      </c>
      <c r="V120" s="99" t="e">
        <f t="shared" si="7"/>
        <v>#DIV/0!</v>
      </c>
      <c r="W120" s="99" t="e">
        <f t="shared" si="8"/>
        <v>#DIV/0!</v>
      </c>
      <c r="AE120" s="18"/>
    </row>
    <row r="121" spans="6:31">
      <c r="F121" s="14" t="s">
        <v>72</v>
      </c>
      <c r="G121" s="2">
        <v>8</v>
      </c>
      <c r="H121" s="2" t="s">
        <v>10</v>
      </c>
      <c r="I121" s="2" t="s">
        <v>11</v>
      </c>
      <c r="J121" s="2">
        <v>2</v>
      </c>
      <c r="K121" s="1">
        <v>40</v>
      </c>
      <c r="L121" s="1" t="s">
        <v>60</v>
      </c>
      <c r="M121" s="1" t="s">
        <v>75</v>
      </c>
      <c r="Q121" t="e">
        <f t="shared" si="5"/>
        <v>#DIV/0!</v>
      </c>
      <c r="R121" t="e">
        <f t="shared" si="6"/>
        <v>#DIV/0!</v>
      </c>
      <c r="V121" s="99" t="e">
        <f t="shared" si="7"/>
        <v>#DIV/0!</v>
      </c>
      <c r="W121" s="99" t="e">
        <f t="shared" si="8"/>
        <v>#DIV/0!</v>
      </c>
      <c r="AE121" s="18"/>
    </row>
    <row r="122" spans="6:31" ht="15.75" thickBot="1">
      <c r="F122" s="19" t="s">
        <v>72</v>
      </c>
      <c r="G122" s="20">
        <v>8</v>
      </c>
      <c r="H122" s="20" t="s">
        <v>10</v>
      </c>
      <c r="I122" s="20" t="s">
        <v>11</v>
      </c>
      <c r="J122" s="20">
        <v>2</v>
      </c>
      <c r="K122" s="22">
        <v>40</v>
      </c>
      <c r="L122" s="22" t="s">
        <v>60</v>
      </c>
      <c r="M122" s="22" t="s">
        <v>76</v>
      </c>
      <c r="N122" s="23"/>
      <c r="O122" s="23"/>
      <c r="P122" s="23"/>
      <c r="Q122" s="23" t="e">
        <f t="shared" si="5"/>
        <v>#DIV/0!</v>
      </c>
      <c r="R122" s="23" t="e">
        <f t="shared" si="6"/>
        <v>#DIV/0!</v>
      </c>
      <c r="S122" s="23"/>
      <c r="T122" s="23"/>
      <c r="U122" s="23"/>
      <c r="V122" s="101" t="e">
        <f t="shared" si="7"/>
        <v>#DIV/0!</v>
      </c>
      <c r="W122" s="101" t="e">
        <f t="shared" si="8"/>
        <v>#DIV/0!</v>
      </c>
      <c r="X122" s="23"/>
      <c r="Y122" s="23"/>
      <c r="Z122" s="23"/>
      <c r="AA122" s="84"/>
      <c r="AB122" s="101"/>
      <c r="AC122" s="23"/>
      <c r="AD122" s="23"/>
      <c r="AE122" s="25"/>
    </row>
    <row r="123" spans="6:31">
      <c r="F123" s="30" t="s">
        <v>72</v>
      </c>
      <c r="G123" s="32">
        <v>9</v>
      </c>
      <c r="H123" s="32" t="s">
        <v>12</v>
      </c>
      <c r="I123" s="32" t="s">
        <v>9</v>
      </c>
      <c r="J123" s="32">
        <v>2</v>
      </c>
      <c r="K123" s="31">
        <v>41</v>
      </c>
      <c r="L123" s="31" t="s">
        <v>52</v>
      </c>
      <c r="M123" s="31" t="s">
        <v>73</v>
      </c>
      <c r="N123" s="37"/>
      <c r="O123" s="37"/>
      <c r="P123" s="37"/>
      <c r="Q123" s="37" t="e">
        <f t="shared" si="5"/>
        <v>#DIV/0!</v>
      </c>
      <c r="R123" s="37" t="e">
        <f t="shared" si="6"/>
        <v>#DIV/0!</v>
      </c>
      <c r="S123" s="37"/>
      <c r="T123" s="37"/>
      <c r="U123" s="37"/>
      <c r="V123" s="100" t="e">
        <f t="shared" si="7"/>
        <v>#DIV/0!</v>
      </c>
      <c r="W123" s="100" t="e">
        <f t="shared" si="8"/>
        <v>#DIV/0!</v>
      </c>
      <c r="X123" s="37"/>
      <c r="Y123" s="37"/>
      <c r="Z123" s="37"/>
      <c r="AA123" s="83"/>
      <c r="AB123" s="100"/>
      <c r="AC123" s="37"/>
      <c r="AD123" s="37"/>
      <c r="AE123" s="38"/>
    </row>
    <row r="124" spans="6:31">
      <c r="F124" s="14" t="s">
        <v>72</v>
      </c>
      <c r="G124" s="2">
        <v>9</v>
      </c>
      <c r="H124" s="2" t="s">
        <v>12</v>
      </c>
      <c r="I124" s="2" t="s">
        <v>9</v>
      </c>
      <c r="J124" s="2">
        <v>2</v>
      </c>
      <c r="K124" s="1">
        <v>41</v>
      </c>
      <c r="L124" s="1" t="s">
        <v>52</v>
      </c>
      <c r="M124" s="1" t="s">
        <v>75</v>
      </c>
      <c r="Q124" t="e">
        <f t="shared" si="5"/>
        <v>#DIV/0!</v>
      </c>
      <c r="R124" t="e">
        <f t="shared" si="6"/>
        <v>#DIV/0!</v>
      </c>
      <c r="V124" s="99" t="e">
        <f t="shared" si="7"/>
        <v>#DIV/0!</v>
      </c>
      <c r="W124" s="99" t="e">
        <f t="shared" si="8"/>
        <v>#DIV/0!</v>
      </c>
      <c r="AE124" s="18"/>
    </row>
    <row r="125" spans="6:31">
      <c r="F125" s="14" t="s">
        <v>72</v>
      </c>
      <c r="G125" s="2">
        <v>9</v>
      </c>
      <c r="H125" s="2" t="s">
        <v>12</v>
      </c>
      <c r="I125" s="2" t="s">
        <v>9</v>
      </c>
      <c r="J125" s="2">
        <v>2</v>
      </c>
      <c r="K125" s="1">
        <v>41</v>
      </c>
      <c r="L125" s="1" t="s">
        <v>52</v>
      </c>
      <c r="M125" s="1" t="s">
        <v>76</v>
      </c>
      <c r="Q125" t="e">
        <f t="shared" si="5"/>
        <v>#DIV/0!</v>
      </c>
      <c r="R125" t="e">
        <f t="shared" si="6"/>
        <v>#DIV/0!</v>
      </c>
      <c r="V125" s="99" t="e">
        <f t="shared" si="7"/>
        <v>#DIV/0!</v>
      </c>
      <c r="W125" s="99" t="e">
        <f t="shared" si="8"/>
        <v>#DIV/0!</v>
      </c>
      <c r="AE125" s="18"/>
    </row>
    <row r="126" spans="6:31">
      <c r="F126" s="14" t="s">
        <v>72</v>
      </c>
      <c r="G126" s="2">
        <v>9</v>
      </c>
      <c r="H126" s="2" t="s">
        <v>12</v>
      </c>
      <c r="I126" s="2" t="s">
        <v>9</v>
      </c>
      <c r="J126" s="2">
        <v>2</v>
      </c>
      <c r="K126" s="1">
        <v>42</v>
      </c>
      <c r="L126" s="1" t="s">
        <v>55</v>
      </c>
      <c r="M126" s="1" t="s">
        <v>73</v>
      </c>
      <c r="Q126" t="e">
        <f t="shared" si="5"/>
        <v>#DIV/0!</v>
      </c>
      <c r="R126" t="e">
        <f t="shared" si="6"/>
        <v>#DIV/0!</v>
      </c>
      <c r="V126" s="99" t="e">
        <f t="shared" si="7"/>
        <v>#DIV/0!</v>
      </c>
      <c r="W126" s="99" t="e">
        <f t="shared" si="8"/>
        <v>#DIV/0!</v>
      </c>
      <c r="AE126" s="18"/>
    </row>
    <row r="127" spans="6:31">
      <c r="F127" s="14" t="s">
        <v>72</v>
      </c>
      <c r="G127" s="2">
        <v>9</v>
      </c>
      <c r="H127" s="2" t="s">
        <v>12</v>
      </c>
      <c r="I127" s="2" t="s">
        <v>9</v>
      </c>
      <c r="J127" s="2">
        <v>2</v>
      </c>
      <c r="K127" s="1">
        <v>42</v>
      </c>
      <c r="L127" s="1" t="s">
        <v>55</v>
      </c>
      <c r="M127" s="1" t="s">
        <v>75</v>
      </c>
      <c r="Q127" t="e">
        <f t="shared" si="5"/>
        <v>#DIV/0!</v>
      </c>
      <c r="R127" t="e">
        <f t="shared" si="6"/>
        <v>#DIV/0!</v>
      </c>
      <c r="V127" s="99" t="e">
        <f t="shared" si="7"/>
        <v>#DIV/0!</v>
      </c>
      <c r="W127" s="99" t="e">
        <f t="shared" si="8"/>
        <v>#DIV/0!</v>
      </c>
      <c r="AE127" s="18"/>
    </row>
    <row r="128" spans="6:31">
      <c r="F128" s="14" t="s">
        <v>72</v>
      </c>
      <c r="G128" s="2">
        <v>9</v>
      </c>
      <c r="H128" s="2" t="s">
        <v>12</v>
      </c>
      <c r="I128" s="2" t="s">
        <v>9</v>
      </c>
      <c r="J128" s="2">
        <v>2</v>
      </c>
      <c r="K128" s="1">
        <v>42</v>
      </c>
      <c r="L128" s="1" t="s">
        <v>55</v>
      </c>
      <c r="M128" s="1" t="s">
        <v>76</v>
      </c>
      <c r="Q128" t="e">
        <f t="shared" si="5"/>
        <v>#DIV/0!</v>
      </c>
      <c r="R128" t="e">
        <f t="shared" si="6"/>
        <v>#DIV/0!</v>
      </c>
      <c r="V128" s="99" t="e">
        <f t="shared" si="7"/>
        <v>#DIV/0!</v>
      </c>
      <c r="W128" s="99" t="e">
        <f t="shared" si="8"/>
        <v>#DIV/0!</v>
      </c>
      <c r="AE128" s="18"/>
    </row>
    <row r="129" spans="6:31">
      <c r="F129" s="14" t="s">
        <v>72</v>
      </c>
      <c r="G129" s="2">
        <v>9</v>
      </c>
      <c r="H129" s="2" t="s">
        <v>12</v>
      </c>
      <c r="I129" s="2" t="s">
        <v>9</v>
      </c>
      <c r="J129" s="2">
        <v>2</v>
      </c>
      <c r="K129" s="1">
        <v>43</v>
      </c>
      <c r="L129" s="1" t="s">
        <v>57</v>
      </c>
      <c r="M129" s="1" t="s">
        <v>73</v>
      </c>
      <c r="Q129" t="e">
        <f t="shared" si="5"/>
        <v>#DIV/0!</v>
      </c>
      <c r="R129" t="e">
        <f t="shared" si="6"/>
        <v>#DIV/0!</v>
      </c>
      <c r="V129" s="99" t="e">
        <f t="shared" si="7"/>
        <v>#DIV/0!</v>
      </c>
      <c r="W129" s="99" t="e">
        <f t="shared" si="8"/>
        <v>#DIV/0!</v>
      </c>
      <c r="AE129" s="18"/>
    </row>
    <row r="130" spans="6:31">
      <c r="F130" s="14" t="s">
        <v>72</v>
      </c>
      <c r="G130" s="2">
        <v>9</v>
      </c>
      <c r="H130" s="2" t="s">
        <v>12</v>
      </c>
      <c r="I130" s="2" t="s">
        <v>9</v>
      </c>
      <c r="J130" s="2">
        <v>2</v>
      </c>
      <c r="K130" s="1">
        <v>43</v>
      </c>
      <c r="L130" s="1" t="s">
        <v>57</v>
      </c>
      <c r="M130" s="1" t="s">
        <v>75</v>
      </c>
      <c r="Q130" t="e">
        <f t="shared" si="5"/>
        <v>#DIV/0!</v>
      </c>
      <c r="R130" t="e">
        <f t="shared" si="6"/>
        <v>#DIV/0!</v>
      </c>
      <c r="V130" s="99" t="e">
        <f t="shared" si="7"/>
        <v>#DIV/0!</v>
      </c>
      <c r="W130" s="99" t="e">
        <f t="shared" si="8"/>
        <v>#DIV/0!</v>
      </c>
      <c r="AE130" s="18"/>
    </row>
    <row r="131" spans="6:31">
      <c r="F131" s="14" t="s">
        <v>72</v>
      </c>
      <c r="G131" s="2">
        <v>9</v>
      </c>
      <c r="H131" s="2" t="s">
        <v>12</v>
      </c>
      <c r="I131" s="2" t="s">
        <v>9</v>
      </c>
      <c r="J131" s="2">
        <v>2</v>
      </c>
      <c r="K131" s="1">
        <v>43</v>
      </c>
      <c r="L131" s="1" t="s">
        <v>57</v>
      </c>
      <c r="M131" s="1" t="s">
        <v>76</v>
      </c>
      <c r="Q131" t="e">
        <f t="shared" si="5"/>
        <v>#DIV/0!</v>
      </c>
      <c r="R131" t="e">
        <f t="shared" si="6"/>
        <v>#DIV/0!</v>
      </c>
      <c r="V131" s="99" t="e">
        <f t="shared" si="7"/>
        <v>#DIV/0!</v>
      </c>
      <c r="W131" s="99" t="e">
        <f t="shared" si="8"/>
        <v>#DIV/0!</v>
      </c>
      <c r="AE131" s="18"/>
    </row>
    <row r="132" spans="6:31">
      <c r="F132" s="14" t="s">
        <v>72</v>
      </c>
      <c r="G132" s="2">
        <v>9</v>
      </c>
      <c r="H132" s="2" t="s">
        <v>12</v>
      </c>
      <c r="I132" s="2" t="s">
        <v>9</v>
      </c>
      <c r="J132" s="2">
        <v>2</v>
      </c>
      <c r="K132" s="1">
        <v>44</v>
      </c>
      <c r="L132" s="1" t="s">
        <v>59</v>
      </c>
      <c r="M132" s="1" t="s">
        <v>73</v>
      </c>
      <c r="Q132" t="e">
        <f t="shared" ref="Q132:Q182" si="9">AVERAGE(N132:P132)</f>
        <v>#DIV/0!</v>
      </c>
      <c r="R132" t="e">
        <f t="shared" ref="R132:R182" si="10">_xlfn.STDEV.S(N132:P132)</f>
        <v>#DIV/0!</v>
      </c>
      <c r="V132" s="99" t="e">
        <f t="shared" ref="V132:V182" si="11">AVERAGE(S132:U132)</f>
        <v>#DIV/0!</v>
      </c>
      <c r="W132" s="99" t="e">
        <f t="shared" si="8"/>
        <v>#DIV/0!</v>
      </c>
      <c r="AE132" s="18"/>
    </row>
    <row r="133" spans="6:31">
      <c r="F133" s="14" t="s">
        <v>72</v>
      </c>
      <c r="G133" s="2">
        <v>9</v>
      </c>
      <c r="H133" s="2" t="s">
        <v>12</v>
      </c>
      <c r="I133" s="2" t="s">
        <v>9</v>
      </c>
      <c r="J133" s="2">
        <v>2</v>
      </c>
      <c r="K133" s="1">
        <v>44</v>
      </c>
      <c r="L133" s="1" t="s">
        <v>59</v>
      </c>
      <c r="M133" s="1" t="s">
        <v>75</v>
      </c>
      <c r="Q133" t="e">
        <f t="shared" si="9"/>
        <v>#DIV/0!</v>
      </c>
      <c r="R133" t="e">
        <f t="shared" si="10"/>
        <v>#DIV/0!</v>
      </c>
      <c r="V133" s="99" t="e">
        <f t="shared" si="11"/>
        <v>#DIV/0!</v>
      </c>
      <c r="W133" s="99" t="e">
        <f t="shared" si="8"/>
        <v>#DIV/0!</v>
      </c>
      <c r="AE133" s="18"/>
    </row>
    <row r="134" spans="6:31">
      <c r="F134" s="14" t="s">
        <v>72</v>
      </c>
      <c r="G134" s="2">
        <v>9</v>
      </c>
      <c r="H134" s="2" t="s">
        <v>12</v>
      </c>
      <c r="I134" s="2" t="s">
        <v>9</v>
      </c>
      <c r="J134" s="2">
        <v>2</v>
      </c>
      <c r="K134" s="1">
        <v>44</v>
      </c>
      <c r="L134" s="1" t="s">
        <v>59</v>
      </c>
      <c r="M134" s="1" t="s">
        <v>76</v>
      </c>
      <c r="Q134" t="e">
        <f t="shared" si="9"/>
        <v>#DIV/0!</v>
      </c>
      <c r="R134" t="e">
        <f t="shared" si="10"/>
        <v>#DIV/0!</v>
      </c>
      <c r="V134" s="99" t="e">
        <f t="shared" si="11"/>
        <v>#DIV/0!</v>
      </c>
      <c r="W134" s="99" t="e">
        <f t="shared" si="8"/>
        <v>#DIV/0!</v>
      </c>
      <c r="AE134" s="18"/>
    </row>
    <row r="135" spans="6:31">
      <c r="F135" s="14" t="s">
        <v>72</v>
      </c>
      <c r="G135" s="2">
        <v>9</v>
      </c>
      <c r="H135" s="2" t="s">
        <v>12</v>
      </c>
      <c r="I135" s="2" t="s">
        <v>9</v>
      </c>
      <c r="J135" s="2">
        <v>2</v>
      </c>
      <c r="K135" s="1">
        <v>45</v>
      </c>
      <c r="L135" s="1" t="s">
        <v>60</v>
      </c>
      <c r="M135" s="1" t="s">
        <v>73</v>
      </c>
      <c r="Q135" t="e">
        <f t="shared" si="9"/>
        <v>#DIV/0!</v>
      </c>
      <c r="R135" t="e">
        <f t="shared" si="10"/>
        <v>#DIV/0!</v>
      </c>
      <c r="V135" s="99" t="e">
        <f t="shared" si="11"/>
        <v>#DIV/0!</v>
      </c>
      <c r="W135" s="99" t="e">
        <f t="shared" si="8"/>
        <v>#DIV/0!</v>
      </c>
      <c r="AE135" s="18"/>
    </row>
    <row r="136" spans="6:31">
      <c r="F136" s="14" t="s">
        <v>72</v>
      </c>
      <c r="G136" s="2">
        <v>9</v>
      </c>
      <c r="H136" s="2" t="s">
        <v>12</v>
      </c>
      <c r="I136" s="2" t="s">
        <v>9</v>
      </c>
      <c r="J136" s="2">
        <v>2</v>
      </c>
      <c r="K136" s="1">
        <v>45</v>
      </c>
      <c r="L136" s="1" t="s">
        <v>60</v>
      </c>
      <c r="M136" s="1" t="s">
        <v>75</v>
      </c>
      <c r="Q136" t="e">
        <f t="shared" si="9"/>
        <v>#DIV/0!</v>
      </c>
      <c r="R136" t="e">
        <f t="shared" si="10"/>
        <v>#DIV/0!</v>
      </c>
      <c r="V136" s="99" t="e">
        <f t="shared" si="11"/>
        <v>#DIV/0!</v>
      </c>
      <c r="W136" s="99" t="e">
        <f t="shared" si="8"/>
        <v>#DIV/0!</v>
      </c>
      <c r="AE136" s="18"/>
    </row>
    <row r="137" spans="6:31" ht="15.75" thickBot="1">
      <c r="F137" s="19" t="s">
        <v>72</v>
      </c>
      <c r="G137" s="20">
        <v>9</v>
      </c>
      <c r="H137" s="20" t="s">
        <v>12</v>
      </c>
      <c r="I137" s="20" t="s">
        <v>9</v>
      </c>
      <c r="J137" s="20">
        <v>2</v>
      </c>
      <c r="K137" s="22">
        <v>45</v>
      </c>
      <c r="L137" s="22" t="s">
        <v>60</v>
      </c>
      <c r="M137" s="22" t="s">
        <v>76</v>
      </c>
      <c r="N137" s="23"/>
      <c r="O137" s="23"/>
      <c r="P137" s="23"/>
      <c r="Q137" s="23" t="e">
        <f t="shared" si="9"/>
        <v>#DIV/0!</v>
      </c>
      <c r="R137" s="23" t="e">
        <f t="shared" si="10"/>
        <v>#DIV/0!</v>
      </c>
      <c r="S137" s="23"/>
      <c r="T137" s="23"/>
      <c r="U137" s="23"/>
      <c r="V137" s="101" t="e">
        <f t="shared" si="11"/>
        <v>#DIV/0!</v>
      </c>
      <c r="W137" s="101" t="e">
        <f t="shared" si="8"/>
        <v>#DIV/0!</v>
      </c>
      <c r="X137" s="23"/>
      <c r="Y137" s="23"/>
      <c r="Z137" s="23"/>
      <c r="AA137" s="84"/>
      <c r="AB137" s="101"/>
      <c r="AC137" s="23"/>
      <c r="AD137" s="23"/>
      <c r="AE137" s="25"/>
    </row>
    <row r="138" spans="6:31">
      <c r="F138" s="30" t="s">
        <v>72</v>
      </c>
      <c r="G138" s="32">
        <v>10</v>
      </c>
      <c r="H138" s="32" t="s">
        <v>10</v>
      </c>
      <c r="I138" s="32" t="s">
        <v>9</v>
      </c>
      <c r="J138" s="39">
        <v>2</v>
      </c>
      <c r="K138" s="31">
        <v>46</v>
      </c>
      <c r="L138" s="31" t="s">
        <v>52</v>
      </c>
      <c r="M138" s="31" t="s">
        <v>73</v>
      </c>
      <c r="N138" s="37"/>
      <c r="O138" s="37"/>
      <c r="P138" s="37"/>
      <c r="Q138" s="37" t="e">
        <f t="shared" si="9"/>
        <v>#DIV/0!</v>
      </c>
      <c r="R138" s="37" t="e">
        <f t="shared" si="10"/>
        <v>#DIV/0!</v>
      </c>
      <c r="S138" s="37"/>
      <c r="T138" s="37"/>
      <c r="U138" s="37"/>
      <c r="V138" s="100" t="e">
        <f t="shared" si="11"/>
        <v>#DIV/0!</v>
      </c>
      <c r="W138" s="100" t="e">
        <f t="shared" si="8"/>
        <v>#DIV/0!</v>
      </c>
      <c r="X138" s="37"/>
      <c r="Y138" s="37"/>
      <c r="Z138" s="37"/>
      <c r="AA138" s="83"/>
      <c r="AB138" s="100"/>
      <c r="AC138" s="37"/>
      <c r="AD138" s="37"/>
      <c r="AE138" s="38"/>
    </row>
    <row r="139" spans="6:31">
      <c r="F139" s="14" t="s">
        <v>72</v>
      </c>
      <c r="G139" s="2">
        <v>10</v>
      </c>
      <c r="H139" s="2" t="s">
        <v>10</v>
      </c>
      <c r="I139" s="2" t="s">
        <v>9</v>
      </c>
      <c r="J139" s="3">
        <v>2</v>
      </c>
      <c r="K139" s="1">
        <v>46</v>
      </c>
      <c r="L139" s="1" t="s">
        <v>52</v>
      </c>
      <c r="M139" s="1" t="s">
        <v>75</v>
      </c>
      <c r="Q139" t="e">
        <f t="shared" si="9"/>
        <v>#DIV/0!</v>
      </c>
      <c r="R139" t="e">
        <f t="shared" si="10"/>
        <v>#DIV/0!</v>
      </c>
      <c r="V139" s="99" t="e">
        <f t="shared" si="11"/>
        <v>#DIV/0!</v>
      </c>
      <c r="W139" s="99" t="e">
        <f t="shared" si="8"/>
        <v>#DIV/0!</v>
      </c>
      <c r="AE139" s="18"/>
    </row>
    <row r="140" spans="6:31">
      <c r="F140" s="14" t="s">
        <v>72</v>
      </c>
      <c r="G140" s="2">
        <v>10</v>
      </c>
      <c r="H140" s="2" t="s">
        <v>10</v>
      </c>
      <c r="I140" s="2" t="s">
        <v>9</v>
      </c>
      <c r="J140" s="3">
        <v>2</v>
      </c>
      <c r="K140" s="1">
        <v>46</v>
      </c>
      <c r="L140" s="1" t="s">
        <v>52</v>
      </c>
      <c r="M140" s="1" t="s">
        <v>76</v>
      </c>
      <c r="Q140" t="e">
        <f t="shared" si="9"/>
        <v>#DIV/0!</v>
      </c>
      <c r="R140" t="e">
        <f t="shared" si="10"/>
        <v>#DIV/0!</v>
      </c>
      <c r="V140" s="99" t="e">
        <f t="shared" si="11"/>
        <v>#DIV/0!</v>
      </c>
      <c r="W140" s="99" t="e">
        <f t="shared" si="8"/>
        <v>#DIV/0!</v>
      </c>
      <c r="AE140" s="18"/>
    </row>
    <row r="141" spans="6:31">
      <c r="F141" s="14" t="s">
        <v>72</v>
      </c>
      <c r="G141" s="2">
        <v>10</v>
      </c>
      <c r="H141" s="2" t="s">
        <v>10</v>
      </c>
      <c r="I141" s="2" t="s">
        <v>9</v>
      </c>
      <c r="J141" s="3">
        <v>2</v>
      </c>
      <c r="K141" s="1">
        <v>47</v>
      </c>
      <c r="L141" s="1" t="s">
        <v>55</v>
      </c>
      <c r="M141" s="1" t="s">
        <v>73</v>
      </c>
      <c r="Q141" t="e">
        <f t="shared" si="9"/>
        <v>#DIV/0!</v>
      </c>
      <c r="R141" t="e">
        <f t="shared" si="10"/>
        <v>#DIV/0!</v>
      </c>
      <c r="V141" s="99" t="e">
        <f t="shared" si="11"/>
        <v>#DIV/0!</v>
      </c>
      <c r="W141" s="99" t="e">
        <f t="shared" si="8"/>
        <v>#DIV/0!</v>
      </c>
      <c r="AE141" s="18"/>
    </row>
    <row r="142" spans="6:31">
      <c r="F142" s="14" t="s">
        <v>72</v>
      </c>
      <c r="G142" s="2">
        <v>10</v>
      </c>
      <c r="H142" s="2" t="s">
        <v>10</v>
      </c>
      <c r="I142" s="2" t="s">
        <v>9</v>
      </c>
      <c r="J142" s="3">
        <v>2</v>
      </c>
      <c r="K142" s="1">
        <v>47</v>
      </c>
      <c r="L142" s="1" t="s">
        <v>55</v>
      </c>
      <c r="M142" s="1" t="s">
        <v>75</v>
      </c>
      <c r="Q142" t="e">
        <f t="shared" si="9"/>
        <v>#DIV/0!</v>
      </c>
      <c r="R142" t="e">
        <f t="shared" si="10"/>
        <v>#DIV/0!</v>
      </c>
      <c r="V142" s="99" t="e">
        <f t="shared" si="11"/>
        <v>#DIV/0!</v>
      </c>
      <c r="W142" s="99" t="e">
        <f t="shared" si="8"/>
        <v>#DIV/0!</v>
      </c>
      <c r="AE142" s="18"/>
    </row>
    <row r="143" spans="6:31">
      <c r="F143" s="14" t="s">
        <v>72</v>
      </c>
      <c r="G143" s="2">
        <v>10</v>
      </c>
      <c r="H143" s="2" t="s">
        <v>10</v>
      </c>
      <c r="I143" s="2" t="s">
        <v>9</v>
      </c>
      <c r="J143" s="3">
        <v>2</v>
      </c>
      <c r="K143" s="1">
        <v>47</v>
      </c>
      <c r="L143" s="1" t="s">
        <v>55</v>
      </c>
      <c r="M143" s="1" t="s">
        <v>76</v>
      </c>
      <c r="Q143" t="e">
        <f t="shared" si="9"/>
        <v>#DIV/0!</v>
      </c>
      <c r="R143" t="e">
        <f t="shared" si="10"/>
        <v>#DIV/0!</v>
      </c>
      <c r="V143" s="99" t="e">
        <f t="shared" si="11"/>
        <v>#DIV/0!</v>
      </c>
      <c r="W143" s="99" t="e">
        <f t="shared" si="8"/>
        <v>#DIV/0!</v>
      </c>
      <c r="AE143" s="18"/>
    </row>
    <row r="144" spans="6:31">
      <c r="F144" s="14" t="s">
        <v>72</v>
      </c>
      <c r="G144" s="2">
        <v>10</v>
      </c>
      <c r="H144" s="2" t="s">
        <v>10</v>
      </c>
      <c r="I144" s="2" t="s">
        <v>9</v>
      </c>
      <c r="J144" s="3">
        <v>2</v>
      </c>
      <c r="K144" s="1">
        <v>48</v>
      </c>
      <c r="L144" s="1" t="s">
        <v>57</v>
      </c>
      <c r="M144" s="1" t="s">
        <v>73</v>
      </c>
      <c r="Q144" t="e">
        <f t="shared" si="9"/>
        <v>#DIV/0!</v>
      </c>
      <c r="R144" t="e">
        <f t="shared" si="10"/>
        <v>#DIV/0!</v>
      </c>
      <c r="V144" s="99" t="e">
        <f t="shared" si="11"/>
        <v>#DIV/0!</v>
      </c>
      <c r="W144" s="99" t="e">
        <f t="shared" si="8"/>
        <v>#DIV/0!</v>
      </c>
      <c r="AE144" s="18"/>
    </row>
    <row r="145" spans="6:31">
      <c r="F145" s="14" t="s">
        <v>72</v>
      </c>
      <c r="G145" s="2">
        <v>10</v>
      </c>
      <c r="H145" s="2" t="s">
        <v>10</v>
      </c>
      <c r="I145" s="2" t="s">
        <v>9</v>
      </c>
      <c r="J145" s="3">
        <v>2</v>
      </c>
      <c r="K145" s="1">
        <v>48</v>
      </c>
      <c r="L145" s="1" t="s">
        <v>57</v>
      </c>
      <c r="M145" s="1" t="s">
        <v>75</v>
      </c>
      <c r="Q145" t="e">
        <f t="shared" si="9"/>
        <v>#DIV/0!</v>
      </c>
      <c r="R145" t="e">
        <f t="shared" si="10"/>
        <v>#DIV/0!</v>
      </c>
      <c r="V145" s="99" t="e">
        <f t="shared" si="11"/>
        <v>#DIV/0!</v>
      </c>
      <c r="W145" s="99" t="e">
        <f t="shared" si="8"/>
        <v>#DIV/0!</v>
      </c>
      <c r="AE145" s="18"/>
    </row>
    <row r="146" spans="6:31">
      <c r="F146" s="14" t="s">
        <v>72</v>
      </c>
      <c r="G146" s="2">
        <v>10</v>
      </c>
      <c r="H146" s="2" t="s">
        <v>10</v>
      </c>
      <c r="I146" s="2" t="s">
        <v>9</v>
      </c>
      <c r="J146" s="3">
        <v>2</v>
      </c>
      <c r="K146" s="1">
        <v>48</v>
      </c>
      <c r="L146" s="1" t="s">
        <v>57</v>
      </c>
      <c r="M146" s="1" t="s">
        <v>76</v>
      </c>
      <c r="Q146" t="e">
        <f t="shared" si="9"/>
        <v>#DIV/0!</v>
      </c>
      <c r="R146" t="e">
        <f t="shared" si="10"/>
        <v>#DIV/0!</v>
      </c>
      <c r="V146" s="99" t="e">
        <f t="shared" si="11"/>
        <v>#DIV/0!</v>
      </c>
      <c r="W146" s="99" t="e">
        <f t="shared" si="8"/>
        <v>#DIV/0!</v>
      </c>
      <c r="AE146" s="18"/>
    </row>
    <row r="147" spans="6:31">
      <c r="F147" s="14" t="s">
        <v>72</v>
      </c>
      <c r="G147" s="2">
        <v>10</v>
      </c>
      <c r="H147" s="2" t="s">
        <v>10</v>
      </c>
      <c r="I147" s="2" t="s">
        <v>9</v>
      </c>
      <c r="J147" s="3">
        <v>2</v>
      </c>
      <c r="K147" s="1">
        <v>49</v>
      </c>
      <c r="L147" s="1" t="s">
        <v>59</v>
      </c>
      <c r="M147" s="1" t="s">
        <v>73</v>
      </c>
      <c r="Q147" t="e">
        <f t="shared" si="9"/>
        <v>#DIV/0!</v>
      </c>
      <c r="R147" t="e">
        <f t="shared" si="10"/>
        <v>#DIV/0!</v>
      </c>
      <c r="V147" s="99" t="e">
        <f t="shared" si="11"/>
        <v>#DIV/0!</v>
      </c>
      <c r="W147" s="99" t="e">
        <f t="shared" ref="W147:W182" si="12">_xlfn.STDEV.S(S147:U147)</f>
        <v>#DIV/0!</v>
      </c>
      <c r="AE147" s="18"/>
    </row>
    <row r="148" spans="6:31">
      <c r="F148" s="14" t="s">
        <v>72</v>
      </c>
      <c r="G148" s="2">
        <v>10</v>
      </c>
      <c r="H148" s="2" t="s">
        <v>10</v>
      </c>
      <c r="I148" s="2" t="s">
        <v>9</v>
      </c>
      <c r="J148" s="3">
        <v>2</v>
      </c>
      <c r="K148" s="1">
        <v>49</v>
      </c>
      <c r="L148" s="1" t="s">
        <v>59</v>
      </c>
      <c r="M148" s="1" t="s">
        <v>75</v>
      </c>
      <c r="Q148" t="e">
        <f t="shared" si="9"/>
        <v>#DIV/0!</v>
      </c>
      <c r="R148" t="e">
        <f t="shared" si="10"/>
        <v>#DIV/0!</v>
      </c>
      <c r="V148" s="99" t="e">
        <f t="shared" si="11"/>
        <v>#DIV/0!</v>
      </c>
      <c r="W148" s="99" t="e">
        <f t="shared" si="12"/>
        <v>#DIV/0!</v>
      </c>
      <c r="AE148" s="18"/>
    </row>
    <row r="149" spans="6:31">
      <c r="F149" s="14" t="s">
        <v>72</v>
      </c>
      <c r="G149" s="2">
        <v>10</v>
      </c>
      <c r="H149" s="2" t="s">
        <v>10</v>
      </c>
      <c r="I149" s="2" t="s">
        <v>9</v>
      </c>
      <c r="J149" s="3">
        <v>2</v>
      </c>
      <c r="K149" s="1">
        <v>49</v>
      </c>
      <c r="L149" s="1" t="s">
        <v>59</v>
      </c>
      <c r="M149" s="1" t="s">
        <v>76</v>
      </c>
      <c r="Q149" t="e">
        <f t="shared" si="9"/>
        <v>#DIV/0!</v>
      </c>
      <c r="R149" t="e">
        <f t="shared" si="10"/>
        <v>#DIV/0!</v>
      </c>
      <c r="V149" s="99" t="e">
        <f t="shared" si="11"/>
        <v>#DIV/0!</v>
      </c>
      <c r="W149" s="99" t="e">
        <f t="shared" si="12"/>
        <v>#DIV/0!</v>
      </c>
      <c r="AE149" s="18"/>
    </row>
    <row r="150" spans="6:31">
      <c r="F150" s="14" t="s">
        <v>72</v>
      </c>
      <c r="G150" s="2">
        <v>10</v>
      </c>
      <c r="H150" s="2" t="s">
        <v>10</v>
      </c>
      <c r="I150" s="2" t="s">
        <v>9</v>
      </c>
      <c r="J150" s="3">
        <v>2</v>
      </c>
      <c r="K150" s="1">
        <v>50</v>
      </c>
      <c r="L150" s="1" t="s">
        <v>60</v>
      </c>
      <c r="M150" s="1" t="s">
        <v>73</v>
      </c>
      <c r="Q150" t="e">
        <f t="shared" si="9"/>
        <v>#DIV/0!</v>
      </c>
      <c r="R150" t="e">
        <f t="shared" si="10"/>
        <v>#DIV/0!</v>
      </c>
      <c r="V150" s="99" t="e">
        <f t="shared" si="11"/>
        <v>#DIV/0!</v>
      </c>
      <c r="W150" s="99" t="e">
        <f t="shared" si="12"/>
        <v>#DIV/0!</v>
      </c>
      <c r="AE150" s="18"/>
    </row>
    <row r="151" spans="6:31">
      <c r="F151" s="14" t="s">
        <v>72</v>
      </c>
      <c r="G151" s="2">
        <v>10</v>
      </c>
      <c r="H151" s="2" t="s">
        <v>10</v>
      </c>
      <c r="I151" s="2" t="s">
        <v>9</v>
      </c>
      <c r="J151" s="3">
        <v>2</v>
      </c>
      <c r="K151" s="1">
        <v>50</v>
      </c>
      <c r="L151" s="1" t="s">
        <v>60</v>
      </c>
      <c r="M151" s="1" t="s">
        <v>75</v>
      </c>
      <c r="Q151" t="e">
        <f t="shared" si="9"/>
        <v>#DIV/0!</v>
      </c>
      <c r="R151" t="e">
        <f t="shared" si="10"/>
        <v>#DIV/0!</v>
      </c>
      <c r="V151" s="99" t="e">
        <f t="shared" si="11"/>
        <v>#DIV/0!</v>
      </c>
      <c r="W151" s="99" t="e">
        <f t="shared" si="12"/>
        <v>#DIV/0!</v>
      </c>
      <c r="AE151" s="18"/>
    </row>
    <row r="152" spans="6:31" ht="15.75" thickBot="1">
      <c r="F152" s="19" t="s">
        <v>72</v>
      </c>
      <c r="G152" s="20">
        <v>10</v>
      </c>
      <c r="H152" s="20" t="s">
        <v>10</v>
      </c>
      <c r="I152" s="20" t="s">
        <v>9</v>
      </c>
      <c r="J152" s="21">
        <v>2</v>
      </c>
      <c r="K152" s="22">
        <v>50</v>
      </c>
      <c r="L152" s="22" t="s">
        <v>60</v>
      </c>
      <c r="M152" s="22" t="s">
        <v>76</v>
      </c>
      <c r="N152" s="23"/>
      <c r="O152" s="23"/>
      <c r="P152" s="23"/>
      <c r="Q152" s="23" t="e">
        <f t="shared" si="9"/>
        <v>#DIV/0!</v>
      </c>
      <c r="R152" s="23" t="e">
        <f t="shared" si="10"/>
        <v>#DIV/0!</v>
      </c>
      <c r="S152" s="23"/>
      <c r="T152" s="23"/>
      <c r="U152" s="23"/>
      <c r="V152" s="101" t="e">
        <f t="shared" si="11"/>
        <v>#DIV/0!</v>
      </c>
      <c r="W152" s="101" t="e">
        <f t="shared" si="12"/>
        <v>#DIV/0!</v>
      </c>
      <c r="X152" s="23"/>
      <c r="Y152" s="23"/>
      <c r="Z152" s="23"/>
      <c r="AA152" s="84"/>
      <c r="AB152" s="101"/>
      <c r="AC152" s="23"/>
      <c r="AD152" s="23"/>
      <c r="AE152" s="25"/>
    </row>
    <row r="153" spans="6:31">
      <c r="F153" s="30" t="s">
        <v>72</v>
      </c>
      <c r="G153" s="32">
        <v>11</v>
      </c>
      <c r="H153" s="32" t="s">
        <v>8</v>
      </c>
      <c r="I153" s="32" t="s">
        <v>11</v>
      </c>
      <c r="J153" s="39">
        <v>2</v>
      </c>
      <c r="K153" s="31">
        <v>51</v>
      </c>
      <c r="L153" s="31" t="s">
        <v>52</v>
      </c>
      <c r="M153" s="31" t="s">
        <v>73</v>
      </c>
      <c r="N153" s="37"/>
      <c r="O153" s="37"/>
      <c r="P153" s="37"/>
      <c r="Q153" s="37" t="e">
        <f t="shared" si="9"/>
        <v>#DIV/0!</v>
      </c>
      <c r="R153" s="37" t="e">
        <f t="shared" si="10"/>
        <v>#DIV/0!</v>
      </c>
      <c r="S153" s="37"/>
      <c r="T153" s="37"/>
      <c r="U153" s="37"/>
      <c r="V153" s="100" t="e">
        <f t="shared" si="11"/>
        <v>#DIV/0!</v>
      </c>
      <c r="W153" s="100" t="e">
        <f t="shared" si="12"/>
        <v>#DIV/0!</v>
      </c>
      <c r="X153" s="37"/>
      <c r="Y153" s="37"/>
      <c r="Z153" s="37"/>
      <c r="AA153" s="83"/>
      <c r="AB153" s="100"/>
      <c r="AC153" s="37"/>
      <c r="AD153" s="37"/>
      <c r="AE153" s="38"/>
    </row>
    <row r="154" spans="6:31">
      <c r="F154" s="14" t="s">
        <v>72</v>
      </c>
      <c r="G154" s="2">
        <v>11</v>
      </c>
      <c r="H154" s="2" t="s">
        <v>8</v>
      </c>
      <c r="I154" s="2" t="s">
        <v>11</v>
      </c>
      <c r="J154" s="3">
        <v>2</v>
      </c>
      <c r="K154" s="1">
        <v>51</v>
      </c>
      <c r="L154" s="1" t="s">
        <v>52</v>
      </c>
      <c r="M154" s="1" t="s">
        <v>75</v>
      </c>
      <c r="Q154" t="e">
        <f t="shared" si="9"/>
        <v>#DIV/0!</v>
      </c>
      <c r="R154" t="e">
        <f t="shared" si="10"/>
        <v>#DIV/0!</v>
      </c>
      <c r="V154" s="99" t="e">
        <f t="shared" si="11"/>
        <v>#DIV/0!</v>
      </c>
      <c r="W154" s="99" t="e">
        <f t="shared" si="12"/>
        <v>#DIV/0!</v>
      </c>
      <c r="AE154" s="18"/>
    </row>
    <row r="155" spans="6:31">
      <c r="F155" s="14" t="s">
        <v>72</v>
      </c>
      <c r="G155" s="2">
        <v>11</v>
      </c>
      <c r="H155" s="2" t="s">
        <v>8</v>
      </c>
      <c r="I155" s="2" t="s">
        <v>11</v>
      </c>
      <c r="J155" s="3">
        <v>2</v>
      </c>
      <c r="K155" s="1">
        <v>51</v>
      </c>
      <c r="L155" s="1" t="s">
        <v>52</v>
      </c>
      <c r="M155" s="1" t="s">
        <v>76</v>
      </c>
      <c r="Q155" t="e">
        <f t="shared" si="9"/>
        <v>#DIV/0!</v>
      </c>
      <c r="R155" t="e">
        <f t="shared" si="10"/>
        <v>#DIV/0!</v>
      </c>
      <c r="V155" s="99" t="e">
        <f t="shared" si="11"/>
        <v>#DIV/0!</v>
      </c>
      <c r="W155" s="99" t="e">
        <f t="shared" si="12"/>
        <v>#DIV/0!</v>
      </c>
      <c r="AE155" s="18"/>
    </row>
    <row r="156" spans="6:31">
      <c r="F156" s="14" t="s">
        <v>72</v>
      </c>
      <c r="G156" s="2">
        <v>11</v>
      </c>
      <c r="H156" s="2" t="s">
        <v>8</v>
      </c>
      <c r="I156" s="2" t="s">
        <v>11</v>
      </c>
      <c r="J156" s="3">
        <v>2</v>
      </c>
      <c r="K156" s="1">
        <v>52</v>
      </c>
      <c r="L156" s="1" t="s">
        <v>55</v>
      </c>
      <c r="M156" s="1" t="s">
        <v>73</v>
      </c>
      <c r="Q156" t="e">
        <f t="shared" si="9"/>
        <v>#DIV/0!</v>
      </c>
      <c r="R156" t="e">
        <f t="shared" si="10"/>
        <v>#DIV/0!</v>
      </c>
      <c r="V156" s="99" t="e">
        <f t="shared" si="11"/>
        <v>#DIV/0!</v>
      </c>
      <c r="W156" s="99" t="e">
        <f t="shared" si="12"/>
        <v>#DIV/0!</v>
      </c>
      <c r="AE156" s="18"/>
    </row>
    <row r="157" spans="6:31">
      <c r="F157" s="14" t="s">
        <v>72</v>
      </c>
      <c r="G157" s="2">
        <v>11</v>
      </c>
      <c r="H157" s="2" t="s">
        <v>8</v>
      </c>
      <c r="I157" s="2" t="s">
        <v>11</v>
      </c>
      <c r="J157" s="3">
        <v>2</v>
      </c>
      <c r="K157" s="1">
        <v>52</v>
      </c>
      <c r="L157" s="1" t="s">
        <v>55</v>
      </c>
      <c r="M157" s="1" t="s">
        <v>75</v>
      </c>
      <c r="Q157" t="e">
        <f t="shared" si="9"/>
        <v>#DIV/0!</v>
      </c>
      <c r="R157" t="e">
        <f t="shared" si="10"/>
        <v>#DIV/0!</v>
      </c>
      <c r="V157" s="99" t="e">
        <f t="shared" si="11"/>
        <v>#DIV/0!</v>
      </c>
      <c r="W157" s="99" t="e">
        <f t="shared" si="12"/>
        <v>#DIV/0!</v>
      </c>
      <c r="AE157" s="18"/>
    </row>
    <row r="158" spans="6:31">
      <c r="F158" s="14" t="s">
        <v>72</v>
      </c>
      <c r="G158" s="2">
        <v>11</v>
      </c>
      <c r="H158" s="2" t="s">
        <v>8</v>
      </c>
      <c r="I158" s="2" t="s">
        <v>11</v>
      </c>
      <c r="J158" s="3">
        <v>2</v>
      </c>
      <c r="K158" s="1">
        <v>52</v>
      </c>
      <c r="L158" s="1" t="s">
        <v>55</v>
      </c>
      <c r="M158" s="1" t="s">
        <v>76</v>
      </c>
      <c r="Q158" t="e">
        <f t="shared" si="9"/>
        <v>#DIV/0!</v>
      </c>
      <c r="R158" t="e">
        <f t="shared" si="10"/>
        <v>#DIV/0!</v>
      </c>
      <c r="V158" s="99" t="e">
        <f t="shared" si="11"/>
        <v>#DIV/0!</v>
      </c>
      <c r="W158" s="99" t="e">
        <f t="shared" si="12"/>
        <v>#DIV/0!</v>
      </c>
      <c r="AE158" s="18"/>
    </row>
    <row r="159" spans="6:31">
      <c r="F159" s="14" t="s">
        <v>72</v>
      </c>
      <c r="G159" s="2">
        <v>11</v>
      </c>
      <c r="H159" s="2" t="s">
        <v>8</v>
      </c>
      <c r="I159" s="2" t="s">
        <v>11</v>
      </c>
      <c r="J159" s="3">
        <v>2</v>
      </c>
      <c r="K159" s="1">
        <v>53</v>
      </c>
      <c r="L159" s="1" t="s">
        <v>57</v>
      </c>
      <c r="M159" s="1" t="s">
        <v>73</v>
      </c>
      <c r="Q159" t="e">
        <f t="shared" si="9"/>
        <v>#DIV/0!</v>
      </c>
      <c r="R159" t="e">
        <f t="shared" si="10"/>
        <v>#DIV/0!</v>
      </c>
      <c r="V159" s="99" t="e">
        <f t="shared" si="11"/>
        <v>#DIV/0!</v>
      </c>
      <c r="W159" s="99" t="e">
        <f t="shared" si="12"/>
        <v>#DIV/0!</v>
      </c>
      <c r="AE159" s="18"/>
    </row>
    <row r="160" spans="6:31">
      <c r="F160" s="14" t="s">
        <v>72</v>
      </c>
      <c r="G160" s="2">
        <v>11</v>
      </c>
      <c r="H160" s="2" t="s">
        <v>8</v>
      </c>
      <c r="I160" s="2" t="s">
        <v>11</v>
      </c>
      <c r="J160" s="3">
        <v>2</v>
      </c>
      <c r="K160" s="1">
        <v>53</v>
      </c>
      <c r="L160" s="1" t="s">
        <v>57</v>
      </c>
      <c r="M160" s="1" t="s">
        <v>75</v>
      </c>
      <c r="Q160" t="e">
        <f t="shared" si="9"/>
        <v>#DIV/0!</v>
      </c>
      <c r="R160" t="e">
        <f t="shared" si="10"/>
        <v>#DIV/0!</v>
      </c>
      <c r="V160" s="99" t="e">
        <f t="shared" si="11"/>
        <v>#DIV/0!</v>
      </c>
      <c r="W160" s="99" t="e">
        <f t="shared" si="12"/>
        <v>#DIV/0!</v>
      </c>
      <c r="AE160" s="18"/>
    </row>
    <row r="161" spans="6:31">
      <c r="F161" s="14" t="s">
        <v>72</v>
      </c>
      <c r="G161" s="2">
        <v>11</v>
      </c>
      <c r="H161" s="2" t="s">
        <v>8</v>
      </c>
      <c r="I161" s="2" t="s">
        <v>11</v>
      </c>
      <c r="J161" s="3">
        <v>2</v>
      </c>
      <c r="K161" s="1">
        <v>53</v>
      </c>
      <c r="L161" s="1" t="s">
        <v>57</v>
      </c>
      <c r="M161" s="1" t="s">
        <v>76</v>
      </c>
      <c r="Q161" t="e">
        <f t="shared" si="9"/>
        <v>#DIV/0!</v>
      </c>
      <c r="R161" t="e">
        <f t="shared" si="10"/>
        <v>#DIV/0!</v>
      </c>
      <c r="V161" s="99" t="e">
        <f t="shared" si="11"/>
        <v>#DIV/0!</v>
      </c>
      <c r="W161" s="99" t="e">
        <f t="shared" si="12"/>
        <v>#DIV/0!</v>
      </c>
      <c r="AE161" s="18"/>
    </row>
    <row r="162" spans="6:31">
      <c r="F162" s="14" t="s">
        <v>72</v>
      </c>
      <c r="G162" s="2">
        <v>11</v>
      </c>
      <c r="H162" s="2" t="s">
        <v>8</v>
      </c>
      <c r="I162" s="2" t="s">
        <v>11</v>
      </c>
      <c r="J162" s="3">
        <v>2</v>
      </c>
      <c r="K162" s="1">
        <v>54</v>
      </c>
      <c r="L162" s="1" t="s">
        <v>59</v>
      </c>
      <c r="M162" s="1" t="s">
        <v>73</v>
      </c>
      <c r="Q162" t="e">
        <f t="shared" si="9"/>
        <v>#DIV/0!</v>
      </c>
      <c r="R162" t="e">
        <f t="shared" si="10"/>
        <v>#DIV/0!</v>
      </c>
      <c r="V162" s="99" t="e">
        <f t="shared" si="11"/>
        <v>#DIV/0!</v>
      </c>
      <c r="W162" s="99" t="e">
        <f t="shared" si="12"/>
        <v>#DIV/0!</v>
      </c>
      <c r="AE162" s="18"/>
    </row>
    <row r="163" spans="6:31">
      <c r="F163" s="14" t="s">
        <v>72</v>
      </c>
      <c r="G163" s="2">
        <v>11</v>
      </c>
      <c r="H163" s="2" t="s">
        <v>8</v>
      </c>
      <c r="I163" s="2" t="s">
        <v>11</v>
      </c>
      <c r="J163" s="3">
        <v>2</v>
      </c>
      <c r="K163" s="1">
        <v>54</v>
      </c>
      <c r="L163" s="1" t="s">
        <v>59</v>
      </c>
      <c r="M163" s="1" t="s">
        <v>75</v>
      </c>
      <c r="Q163" t="e">
        <f t="shared" si="9"/>
        <v>#DIV/0!</v>
      </c>
      <c r="R163" t="e">
        <f t="shared" si="10"/>
        <v>#DIV/0!</v>
      </c>
      <c r="V163" s="99" t="e">
        <f t="shared" si="11"/>
        <v>#DIV/0!</v>
      </c>
      <c r="W163" s="99" t="e">
        <f t="shared" si="12"/>
        <v>#DIV/0!</v>
      </c>
      <c r="AE163" s="18"/>
    </row>
    <row r="164" spans="6:31">
      <c r="F164" s="14" t="s">
        <v>72</v>
      </c>
      <c r="G164" s="2">
        <v>11</v>
      </c>
      <c r="H164" s="2" t="s">
        <v>8</v>
      </c>
      <c r="I164" s="2" t="s">
        <v>11</v>
      </c>
      <c r="J164" s="3">
        <v>2</v>
      </c>
      <c r="K164" s="1">
        <v>54</v>
      </c>
      <c r="L164" s="1" t="s">
        <v>59</v>
      </c>
      <c r="M164" s="1" t="s">
        <v>76</v>
      </c>
      <c r="Q164" t="e">
        <f t="shared" si="9"/>
        <v>#DIV/0!</v>
      </c>
      <c r="R164" t="e">
        <f t="shared" si="10"/>
        <v>#DIV/0!</v>
      </c>
      <c r="V164" s="99" t="e">
        <f t="shared" si="11"/>
        <v>#DIV/0!</v>
      </c>
      <c r="W164" s="99" t="e">
        <f t="shared" si="12"/>
        <v>#DIV/0!</v>
      </c>
      <c r="AE164" s="18"/>
    </row>
    <row r="165" spans="6:31">
      <c r="F165" s="14" t="s">
        <v>72</v>
      </c>
      <c r="G165" s="2">
        <v>11</v>
      </c>
      <c r="H165" s="2" t="s">
        <v>8</v>
      </c>
      <c r="I165" s="2" t="s">
        <v>11</v>
      </c>
      <c r="J165" s="3">
        <v>2</v>
      </c>
      <c r="K165" s="1">
        <v>55</v>
      </c>
      <c r="L165" s="1" t="s">
        <v>60</v>
      </c>
      <c r="M165" s="1" t="s">
        <v>73</v>
      </c>
      <c r="Q165" t="e">
        <f t="shared" si="9"/>
        <v>#DIV/0!</v>
      </c>
      <c r="R165" t="e">
        <f t="shared" si="10"/>
        <v>#DIV/0!</v>
      </c>
      <c r="V165" s="99" t="e">
        <f t="shared" si="11"/>
        <v>#DIV/0!</v>
      </c>
      <c r="W165" s="99" t="e">
        <f t="shared" si="12"/>
        <v>#DIV/0!</v>
      </c>
      <c r="AE165" s="18"/>
    </row>
    <row r="166" spans="6:31">
      <c r="F166" s="14" t="s">
        <v>72</v>
      </c>
      <c r="G166" s="2">
        <v>11</v>
      </c>
      <c r="H166" s="2" t="s">
        <v>8</v>
      </c>
      <c r="I166" s="2" t="s">
        <v>11</v>
      </c>
      <c r="J166" s="3">
        <v>2</v>
      </c>
      <c r="K166" s="1">
        <v>55</v>
      </c>
      <c r="L166" s="1" t="s">
        <v>60</v>
      </c>
      <c r="M166" s="1" t="s">
        <v>75</v>
      </c>
      <c r="Q166" t="e">
        <f t="shared" si="9"/>
        <v>#DIV/0!</v>
      </c>
      <c r="R166" t="e">
        <f t="shared" si="10"/>
        <v>#DIV/0!</v>
      </c>
      <c r="V166" s="99" t="e">
        <f t="shared" si="11"/>
        <v>#DIV/0!</v>
      </c>
      <c r="W166" s="99" t="e">
        <f t="shared" si="12"/>
        <v>#DIV/0!</v>
      </c>
      <c r="AE166" s="18"/>
    </row>
    <row r="167" spans="6:31" ht="15.75" thickBot="1">
      <c r="F167" s="19" t="s">
        <v>72</v>
      </c>
      <c r="G167" s="20">
        <v>11</v>
      </c>
      <c r="H167" s="20" t="s">
        <v>8</v>
      </c>
      <c r="I167" s="20" t="s">
        <v>11</v>
      </c>
      <c r="J167" s="21">
        <v>2</v>
      </c>
      <c r="K167" s="22">
        <v>55</v>
      </c>
      <c r="L167" s="22" t="s">
        <v>60</v>
      </c>
      <c r="M167" s="22" t="s">
        <v>76</v>
      </c>
      <c r="N167" s="23"/>
      <c r="O167" s="23"/>
      <c r="P167" s="23"/>
      <c r="Q167" s="23" t="e">
        <f t="shared" si="9"/>
        <v>#DIV/0!</v>
      </c>
      <c r="R167" s="23" t="e">
        <f t="shared" si="10"/>
        <v>#DIV/0!</v>
      </c>
      <c r="S167" s="23"/>
      <c r="T167" s="23"/>
      <c r="U167" s="23"/>
      <c r="V167" s="101" t="e">
        <f t="shared" si="11"/>
        <v>#DIV/0!</v>
      </c>
      <c r="W167" s="101" t="e">
        <f t="shared" si="12"/>
        <v>#DIV/0!</v>
      </c>
      <c r="X167" s="23"/>
      <c r="Y167" s="23"/>
      <c r="Z167" s="23"/>
      <c r="AA167" s="84"/>
      <c r="AB167" s="101"/>
      <c r="AC167" s="23"/>
      <c r="AD167" s="23"/>
      <c r="AE167" s="25"/>
    </row>
    <row r="168" spans="6:31">
      <c r="F168" s="14" t="s">
        <v>72</v>
      </c>
      <c r="G168" s="2">
        <v>12</v>
      </c>
      <c r="H168" s="2" t="s">
        <v>12</v>
      </c>
      <c r="I168" s="2" t="s">
        <v>11</v>
      </c>
      <c r="J168" s="3">
        <v>2</v>
      </c>
      <c r="K168" s="1">
        <v>56</v>
      </c>
      <c r="L168" s="1" t="s">
        <v>52</v>
      </c>
      <c r="M168" s="1" t="s">
        <v>73</v>
      </c>
      <c r="Q168" t="e">
        <f t="shared" si="9"/>
        <v>#DIV/0!</v>
      </c>
      <c r="R168" t="e">
        <f t="shared" si="10"/>
        <v>#DIV/0!</v>
      </c>
      <c r="V168" s="99" t="e">
        <f t="shared" si="11"/>
        <v>#DIV/0!</v>
      </c>
      <c r="W168" s="99" t="e">
        <f t="shared" si="12"/>
        <v>#DIV/0!</v>
      </c>
      <c r="AE168" s="18"/>
    </row>
    <row r="169" spans="6:31">
      <c r="F169" s="14" t="s">
        <v>72</v>
      </c>
      <c r="G169" s="2">
        <v>12</v>
      </c>
      <c r="H169" s="2" t="s">
        <v>12</v>
      </c>
      <c r="I169" s="2" t="s">
        <v>11</v>
      </c>
      <c r="J169" s="3">
        <v>2</v>
      </c>
      <c r="K169" s="1">
        <v>56</v>
      </c>
      <c r="L169" s="1" t="s">
        <v>52</v>
      </c>
      <c r="M169" s="1" t="s">
        <v>75</v>
      </c>
      <c r="Q169" t="e">
        <f t="shared" si="9"/>
        <v>#DIV/0!</v>
      </c>
      <c r="R169" t="e">
        <f t="shared" si="10"/>
        <v>#DIV/0!</v>
      </c>
      <c r="V169" s="99" t="e">
        <f t="shared" si="11"/>
        <v>#DIV/0!</v>
      </c>
      <c r="W169" s="99" t="e">
        <f t="shared" si="12"/>
        <v>#DIV/0!</v>
      </c>
      <c r="AE169" s="18"/>
    </row>
    <row r="170" spans="6:31">
      <c r="F170" s="14" t="s">
        <v>72</v>
      </c>
      <c r="G170" s="2">
        <v>12</v>
      </c>
      <c r="H170" s="2" t="s">
        <v>12</v>
      </c>
      <c r="I170" s="2" t="s">
        <v>11</v>
      </c>
      <c r="J170" s="3">
        <v>2</v>
      </c>
      <c r="K170" s="1">
        <v>56</v>
      </c>
      <c r="L170" s="1" t="s">
        <v>52</v>
      </c>
      <c r="M170" s="1" t="s">
        <v>76</v>
      </c>
      <c r="Q170" t="e">
        <f t="shared" si="9"/>
        <v>#DIV/0!</v>
      </c>
      <c r="R170" t="e">
        <f t="shared" si="10"/>
        <v>#DIV/0!</v>
      </c>
      <c r="V170" s="99" t="e">
        <f t="shared" si="11"/>
        <v>#DIV/0!</v>
      </c>
      <c r="W170" s="99" t="e">
        <f t="shared" si="12"/>
        <v>#DIV/0!</v>
      </c>
      <c r="AE170" s="18"/>
    </row>
    <row r="171" spans="6:31">
      <c r="F171" s="14" t="s">
        <v>72</v>
      </c>
      <c r="G171" s="2">
        <v>12</v>
      </c>
      <c r="H171" s="2" t="s">
        <v>12</v>
      </c>
      <c r="I171" s="2" t="s">
        <v>11</v>
      </c>
      <c r="J171" s="3">
        <v>2</v>
      </c>
      <c r="K171" s="1">
        <v>57</v>
      </c>
      <c r="L171" s="1" t="s">
        <v>55</v>
      </c>
      <c r="M171" s="1" t="s">
        <v>73</v>
      </c>
      <c r="Q171" t="e">
        <f t="shared" si="9"/>
        <v>#DIV/0!</v>
      </c>
      <c r="R171" t="e">
        <f t="shared" si="10"/>
        <v>#DIV/0!</v>
      </c>
      <c r="V171" s="99" t="e">
        <f t="shared" si="11"/>
        <v>#DIV/0!</v>
      </c>
      <c r="W171" s="99" t="e">
        <f t="shared" si="12"/>
        <v>#DIV/0!</v>
      </c>
      <c r="AE171" s="18"/>
    </row>
    <row r="172" spans="6:31">
      <c r="F172" s="14" t="s">
        <v>72</v>
      </c>
      <c r="G172" s="2">
        <v>12</v>
      </c>
      <c r="H172" s="2" t="s">
        <v>12</v>
      </c>
      <c r="I172" s="2" t="s">
        <v>11</v>
      </c>
      <c r="J172" s="3">
        <v>2</v>
      </c>
      <c r="K172" s="1">
        <v>57</v>
      </c>
      <c r="L172" s="1" t="s">
        <v>55</v>
      </c>
      <c r="M172" s="1" t="s">
        <v>75</v>
      </c>
      <c r="Q172" t="e">
        <f t="shared" si="9"/>
        <v>#DIV/0!</v>
      </c>
      <c r="R172" t="e">
        <f t="shared" si="10"/>
        <v>#DIV/0!</v>
      </c>
      <c r="V172" s="99" t="e">
        <f t="shared" si="11"/>
        <v>#DIV/0!</v>
      </c>
      <c r="W172" s="99" t="e">
        <f t="shared" si="12"/>
        <v>#DIV/0!</v>
      </c>
      <c r="AE172" s="18"/>
    </row>
    <row r="173" spans="6:31">
      <c r="F173" s="14" t="s">
        <v>72</v>
      </c>
      <c r="G173" s="2">
        <v>12</v>
      </c>
      <c r="H173" s="2" t="s">
        <v>12</v>
      </c>
      <c r="I173" s="2" t="s">
        <v>11</v>
      </c>
      <c r="J173" s="3">
        <v>2</v>
      </c>
      <c r="K173" s="1">
        <v>57</v>
      </c>
      <c r="L173" s="1" t="s">
        <v>55</v>
      </c>
      <c r="M173" s="1" t="s">
        <v>76</v>
      </c>
      <c r="Q173" t="e">
        <f t="shared" si="9"/>
        <v>#DIV/0!</v>
      </c>
      <c r="R173" t="e">
        <f t="shared" si="10"/>
        <v>#DIV/0!</v>
      </c>
      <c r="V173" s="99" t="e">
        <f t="shared" si="11"/>
        <v>#DIV/0!</v>
      </c>
      <c r="W173" s="99" t="e">
        <f t="shared" si="12"/>
        <v>#DIV/0!</v>
      </c>
      <c r="AE173" s="18"/>
    </row>
    <row r="174" spans="6:31">
      <c r="F174" s="14" t="s">
        <v>72</v>
      </c>
      <c r="G174" s="2">
        <v>12</v>
      </c>
      <c r="H174" s="2" t="s">
        <v>12</v>
      </c>
      <c r="I174" s="2" t="s">
        <v>11</v>
      </c>
      <c r="J174" s="3">
        <v>2</v>
      </c>
      <c r="K174" s="1">
        <v>58</v>
      </c>
      <c r="L174" s="1" t="s">
        <v>57</v>
      </c>
      <c r="M174" s="1" t="s">
        <v>73</v>
      </c>
      <c r="Q174" t="e">
        <f t="shared" si="9"/>
        <v>#DIV/0!</v>
      </c>
      <c r="R174" t="e">
        <f t="shared" si="10"/>
        <v>#DIV/0!</v>
      </c>
      <c r="V174" s="99" t="e">
        <f t="shared" si="11"/>
        <v>#DIV/0!</v>
      </c>
      <c r="W174" s="99" t="e">
        <f t="shared" si="12"/>
        <v>#DIV/0!</v>
      </c>
      <c r="AE174" s="18"/>
    </row>
    <row r="175" spans="6:31">
      <c r="F175" s="14" t="s">
        <v>72</v>
      </c>
      <c r="G175" s="2">
        <v>12</v>
      </c>
      <c r="H175" s="2" t="s">
        <v>12</v>
      </c>
      <c r="I175" s="2" t="s">
        <v>11</v>
      </c>
      <c r="J175" s="3">
        <v>2</v>
      </c>
      <c r="K175" s="1">
        <v>58</v>
      </c>
      <c r="L175" s="1" t="s">
        <v>57</v>
      </c>
      <c r="M175" s="1" t="s">
        <v>75</v>
      </c>
      <c r="Q175" t="e">
        <f t="shared" si="9"/>
        <v>#DIV/0!</v>
      </c>
      <c r="R175" t="e">
        <f t="shared" si="10"/>
        <v>#DIV/0!</v>
      </c>
      <c r="V175" s="99" t="e">
        <f t="shared" si="11"/>
        <v>#DIV/0!</v>
      </c>
      <c r="W175" s="99" t="e">
        <f t="shared" si="12"/>
        <v>#DIV/0!</v>
      </c>
      <c r="AE175" s="18"/>
    </row>
    <row r="176" spans="6:31">
      <c r="F176" s="14" t="s">
        <v>72</v>
      </c>
      <c r="G176" s="2">
        <v>12</v>
      </c>
      <c r="H176" s="2" t="s">
        <v>12</v>
      </c>
      <c r="I176" s="2" t="s">
        <v>11</v>
      </c>
      <c r="J176" s="3">
        <v>2</v>
      </c>
      <c r="K176" s="1">
        <v>58</v>
      </c>
      <c r="L176" s="1" t="s">
        <v>57</v>
      </c>
      <c r="M176" s="1" t="s">
        <v>76</v>
      </c>
      <c r="Q176" t="e">
        <f t="shared" si="9"/>
        <v>#DIV/0!</v>
      </c>
      <c r="R176" t="e">
        <f t="shared" si="10"/>
        <v>#DIV/0!</v>
      </c>
      <c r="V176" s="99" t="e">
        <f t="shared" si="11"/>
        <v>#DIV/0!</v>
      </c>
      <c r="W176" s="99" t="e">
        <f t="shared" si="12"/>
        <v>#DIV/0!</v>
      </c>
      <c r="AE176" s="18"/>
    </row>
    <row r="177" spans="6:31">
      <c r="F177" s="14" t="s">
        <v>72</v>
      </c>
      <c r="G177" s="2">
        <v>12</v>
      </c>
      <c r="H177" s="2" t="s">
        <v>12</v>
      </c>
      <c r="I177" s="2" t="s">
        <v>11</v>
      </c>
      <c r="J177" s="3">
        <v>2</v>
      </c>
      <c r="K177" s="1">
        <v>59</v>
      </c>
      <c r="L177" s="1" t="s">
        <v>59</v>
      </c>
      <c r="M177" s="1" t="s">
        <v>73</v>
      </c>
      <c r="Q177" t="e">
        <f t="shared" si="9"/>
        <v>#DIV/0!</v>
      </c>
      <c r="R177" t="e">
        <f t="shared" si="10"/>
        <v>#DIV/0!</v>
      </c>
      <c r="V177" s="99" t="e">
        <f t="shared" si="11"/>
        <v>#DIV/0!</v>
      </c>
      <c r="W177" s="99" t="e">
        <f t="shared" si="12"/>
        <v>#DIV/0!</v>
      </c>
      <c r="AE177" s="18"/>
    </row>
    <row r="178" spans="6:31">
      <c r="F178" s="14" t="s">
        <v>72</v>
      </c>
      <c r="G178" s="2">
        <v>12</v>
      </c>
      <c r="H178" s="2" t="s">
        <v>12</v>
      </c>
      <c r="I178" s="2" t="s">
        <v>11</v>
      </c>
      <c r="J178" s="3">
        <v>2</v>
      </c>
      <c r="K178" s="1">
        <v>59</v>
      </c>
      <c r="L178" s="1" t="s">
        <v>59</v>
      </c>
      <c r="M178" s="1" t="s">
        <v>75</v>
      </c>
      <c r="Q178" t="e">
        <f t="shared" si="9"/>
        <v>#DIV/0!</v>
      </c>
      <c r="R178" t="e">
        <f t="shared" si="10"/>
        <v>#DIV/0!</v>
      </c>
      <c r="V178" s="99" t="e">
        <f t="shared" si="11"/>
        <v>#DIV/0!</v>
      </c>
      <c r="W178" s="99" t="e">
        <f t="shared" si="12"/>
        <v>#DIV/0!</v>
      </c>
      <c r="AE178" s="18"/>
    </row>
    <row r="179" spans="6:31">
      <c r="F179" s="14" t="s">
        <v>72</v>
      </c>
      <c r="G179" s="2">
        <v>12</v>
      </c>
      <c r="H179" s="2" t="s">
        <v>12</v>
      </c>
      <c r="I179" s="2" t="s">
        <v>11</v>
      </c>
      <c r="J179" s="3">
        <v>2</v>
      </c>
      <c r="K179" s="1">
        <v>59</v>
      </c>
      <c r="L179" s="1" t="s">
        <v>59</v>
      </c>
      <c r="M179" s="1" t="s">
        <v>76</v>
      </c>
      <c r="Q179" t="e">
        <f t="shared" si="9"/>
        <v>#DIV/0!</v>
      </c>
      <c r="R179" t="e">
        <f t="shared" si="10"/>
        <v>#DIV/0!</v>
      </c>
      <c r="V179" s="99" t="e">
        <f t="shared" si="11"/>
        <v>#DIV/0!</v>
      </c>
      <c r="W179" s="99" t="e">
        <f t="shared" si="12"/>
        <v>#DIV/0!</v>
      </c>
      <c r="AE179" s="18"/>
    </row>
    <row r="180" spans="6:31">
      <c r="F180" s="14" t="s">
        <v>72</v>
      </c>
      <c r="G180" s="2">
        <v>12</v>
      </c>
      <c r="H180" s="2" t="s">
        <v>12</v>
      </c>
      <c r="I180" s="2" t="s">
        <v>11</v>
      </c>
      <c r="J180" s="3">
        <v>2</v>
      </c>
      <c r="K180" s="1">
        <v>60</v>
      </c>
      <c r="L180" s="1" t="s">
        <v>60</v>
      </c>
      <c r="M180" s="1" t="s">
        <v>73</v>
      </c>
      <c r="Q180" t="e">
        <f t="shared" si="9"/>
        <v>#DIV/0!</v>
      </c>
      <c r="R180" t="e">
        <f t="shared" si="10"/>
        <v>#DIV/0!</v>
      </c>
      <c r="V180" s="99" t="e">
        <f t="shared" si="11"/>
        <v>#DIV/0!</v>
      </c>
      <c r="W180" s="99" t="e">
        <f t="shared" si="12"/>
        <v>#DIV/0!</v>
      </c>
      <c r="AE180" s="18"/>
    </row>
    <row r="181" spans="6:31">
      <c r="F181" s="14" t="s">
        <v>72</v>
      </c>
      <c r="G181" s="2">
        <v>12</v>
      </c>
      <c r="H181" s="2" t="s">
        <v>12</v>
      </c>
      <c r="I181" s="2" t="s">
        <v>11</v>
      </c>
      <c r="J181" s="3">
        <v>2</v>
      </c>
      <c r="K181" s="1">
        <v>60</v>
      </c>
      <c r="L181" s="1" t="s">
        <v>60</v>
      </c>
      <c r="M181" s="1" t="s">
        <v>75</v>
      </c>
      <c r="Q181" t="e">
        <f t="shared" si="9"/>
        <v>#DIV/0!</v>
      </c>
      <c r="R181" t="e">
        <f t="shared" si="10"/>
        <v>#DIV/0!</v>
      </c>
      <c r="V181" s="99" t="e">
        <f t="shared" si="11"/>
        <v>#DIV/0!</v>
      </c>
      <c r="W181" s="99" t="e">
        <f t="shared" si="12"/>
        <v>#DIV/0!</v>
      </c>
      <c r="AE181" s="18"/>
    </row>
    <row r="182" spans="6:31" ht="15.75" thickBot="1">
      <c r="F182" s="19" t="s">
        <v>72</v>
      </c>
      <c r="G182" s="20">
        <v>12</v>
      </c>
      <c r="H182" s="20" t="s">
        <v>12</v>
      </c>
      <c r="I182" s="20" t="s">
        <v>11</v>
      </c>
      <c r="J182" s="21">
        <v>2</v>
      </c>
      <c r="K182" s="22">
        <v>60</v>
      </c>
      <c r="L182" s="22" t="s">
        <v>60</v>
      </c>
      <c r="M182" s="22" t="s">
        <v>76</v>
      </c>
      <c r="N182" s="23"/>
      <c r="O182" s="23"/>
      <c r="P182" s="23"/>
      <c r="Q182" s="23" t="e">
        <f t="shared" si="9"/>
        <v>#DIV/0!</v>
      </c>
      <c r="R182" s="23" t="e">
        <f t="shared" si="10"/>
        <v>#DIV/0!</v>
      </c>
      <c r="S182" s="23"/>
      <c r="T182" s="23"/>
      <c r="U182" s="23"/>
      <c r="V182" s="101" t="e">
        <f t="shared" si="11"/>
        <v>#DIV/0!</v>
      </c>
      <c r="W182" s="101" t="e">
        <f t="shared" si="12"/>
        <v>#DIV/0!</v>
      </c>
      <c r="X182" s="23"/>
      <c r="Y182" s="23"/>
      <c r="Z182" s="23"/>
      <c r="AA182" s="84"/>
      <c r="AB182" s="101"/>
      <c r="AC182" s="23"/>
      <c r="AD182" s="23"/>
      <c r="AE182" s="25"/>
    </row>
    <row r="183" spans="6:31">
      <c r="F183" s="1"/>
      <c r="L183" s="1"/>
      <c r="M183" s="1"/>
    </row>
    <row r="184" spans="6:31">
      <c r="F184" s="1"/>
      <c r="L184" s="1"/>
      <c r="M184" s="1"/>
    </row>
    <row r="185" spans="6:31">
      <c r="F185" s="1"/>
      <c r="L185" s="1"/>
      <c r="M185" s="1"/>
    </row>
    <row r="186" spans="6:31">
      <c r="F186" s="1"/>
      <c r="L186" s="1"/>
      <c r="M186" s="1"/>
    </row>
    <row r="187" spans="6:31">
      <c r="F187" s="1"/>
      <c r="L187" s="1"/>
      <c r="M187" s="1"/>
    </row>
    <row r="188" spans="6:31">
      <c r="F188" s="1"/>
      <c r="L188" s="1"/>
      <c r="M188" s="1"/>
    </row>
    <row r="189" spans="6:31">
      <c r="F189" s="1"/>
      <c r="L189" s="1"/>
      <c r="M189" s="1"/>
    </row>
    <row r="190" spans="6:31">
      <c r="F190" s="1"/>
      <c r="L190" s="1"/>
      <c r="M190" s="1"/>
    </row>
    <row r="191" spans="6:31">
      <c r="F191" s="1"/>
      <c r="L191" s="1"/>
      <c r="M191" s="1"/>
    </row>
    <row r="192" spans="6:31">
      <c r="F192" s="1"/>
      <c r="L192" s="1"/>
      <c r="M192" s="1"/>
    </row>
    <row r="193" spans="6:13">
      <c r="F193" s="1"/>
      <c r="L193" s="1"/>
      <c r="M193" s="1"/>
    </row>
    <row r="194" spans="6:13">
      <c r="F194" s="1"/>
      <c r="L194" s="1"/>
      <c r="M194" s="1"/>
    </row>
    <row r="195" spans="6:13">
      <c r="F195" s="1"/>
      <c r="L195" s="1"/>
      <c r="M195" s="1"/>
    </row>
    <row r="196" spans="6:13">
      <c r="F196" s="1"/>
      <c r="L196" s="1"/>
      <c r="M196" s="1"/>
    </row>
    <row r="197" spans="6:13">
      <c r="F197" s="1"/>
      <c r="L197" s="1"/>
      <c r="M197" s="1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CC0B-A375-4038-B8FF-9ADA376EFAC8}">
  <dimension ref="B1:AN62"/>
  <sheetViews>
    <sheetView tabSelected="1" topLeftCell="Q42" zoomScaleNormal="100" workbookViewId="0">
      <selection activeCell="F2" sqref="F2:AK62"/>
    </sheetView>
  </sheetViews>
  <sheetFormatPr defaultColWidth="11.42578125" defaultRowHeight="15"/>
  <cols>
    <col min="2" max="2" width="16.7109375" bestFit="1" customWidth="1"/>
    <col min="6" max="6" width="8" style="3" bestFit="1" customWidth="1"/>
    <col min="7" max="7" width="7.7109375" style="3" bestFit="1" customWidth="1"/>
    <col min="8" max="8" width="12.42578125" style="3" customWidth="1"/>
    <col min="9" max="9" width="8.7109375" style="3" bestFit="1" customWidth="1"/>
    <col min="10" max="10" width="7.7109375" style="3" bestFit="1" customWidth="1"/>
    <col min="11" max="11" width="7.140625" style="3" bestFit="1" customWidth="1"/>
    <col min="12" max="12" width="10.42578125" style="3" bestFit="1" customWidth="1"/>
    <col min="13" max="15" width="9.140625" style="3" bestFit="1" customWidth="1"/>
    <col min="16" max="16" width="10.7109375" style="3" customWidth="1"/>
    <col min="17" max="17" width="10.140625" style="3" customWidth="1"/>
    <col min="18" max="20" width="9.140625" style="3" bestFit="1" customWidth="1"/>
    <col min="21" max="21" width="8.42578125" style="3" customWidth="1"/>
    <col min="22" max="22" width="9" style="3" customWidth="1"/>
    <col min="23" max="25" width="9.140625" style="3" bestFit="1" customWidth="1"/>
    <col min="26" max="26" width="8.42578125" style="3" customWidth="1"/>
    <col min="27" max="27" width="9" style="3" customWidth="1"/>
    <col min="28" max="28" width="5.140625" style="3" bestFit="1" customWidth="1"/>
    <col min="29" max="29" width="6.28515625" style="3" bestFit="1" customWidth="1"/>
    <col min="30" max="30" width="5.28515625" style="3" bestFit="1" customWidth="1"/>
    <col min="31" max="31" width="8.42578125" style="3" bestFit="1" customWidth="1"/>
    <col min="32" max="32" width="8.140625" style="3" bestFit="1" customWidth="1"/>
    <col min="33" max="33" width="6.85546875" style="92" bestFit="1" customWidth="1"/>
    <col min="34" max="34" width="8" style="92" bestFit="1" customWidth="1"/>
    <col min="35" max="35" width="7" style="92" bestFit="1" customWidth="1"/>
    <col min="36" max="36" width="10.140625" style="92" bestFit="1" customWidth="1"/>
    <col min="37" max="37" width="8.85546875" style="93" bestFit="1" customWidth="1"/>
    <col min="38" max="38" width="11.28515625" style="3" bestFit="1" customWidth="1"/>
    <col min="39" max="39" width="9.7109375" style="3" bestFit="1" customWidth="1"/>
    <col min="40" max="40" width="14.42578125" style="3" bestFit="1" customWidth="1"/>
  </cols>
  <sheetData>
    <row r="1" spans="2:40" ht="15.75" thickBot="1"/>
    <row r="2" spans="2:40" ht="60.75" thickBot="1">
      <c r="B2" s="116" t="s">
        <v>13</v>
      </c>
      <c r="C2" s="116"/>
      <c r="D2" s="116"/>
      <c r="F2" s="26" t="s">
        <v>14</v>
      </c>
      <c r="G2" s="27" t="s">
        <v>15</v>
      </c>
      <c r="H2" s="27" t="s">
        <v>4</v>
      </c>
      <c r="I2" s="27" t="s">
        <v>5</v>
      </c>
      <c r="J2" s="27" t="s">
        <v>6</v>
      </c>
      <c r="K2" s="27" t="s">
        <v>16</v>
      </c>
      <c r="L2" s="27" t="s">
        <v>17</v>
      </c>
      <c r="M2" s="27" t="s">
        <v>78</v>
      </c>
      <c r="N2" s="27" t="s">
        <v>79</v>
      </c>
      <c r="O2" s="27" t="s">
        <v>80</v>
      </c>
      <c r="P2" s="27" t="s">
        <v>81</v>
      </c>
      <c r="Q2" s="27" t="s">
        <v>82</v>
      </c>
      <c r="R2" s="27" t="s">
        <v>28</v>
      </c>
      <c r="S2" s="27" t="s">
        <v>29</v>
      </c>
      <c r="T2" s="27" t="s">
        <v>30</v>
      </c>
      <c r="U2" s="27" t="s">
        <v>31</v>
      </c>
      <c r="V2" s="27" t="s">
        <v>32</v>
      </c>
      <c r="W2" s="27" t="s">
        <v>33</v>
      </c>
      <c r="X2" s="27" t="s">
        <v>34</v>
      </c>
      <c r="Y2" s="27" t="s">
        <v>35</v>
      </c>
      <c r="Z2" s="27" t="s">
        <v>36</v>
      </c>
      <c r="AA2" s="27" t="s">
        <v>37</v>
      </c>
      <c r="AB2" s="27" t="s">
        <v>38</v>
      </c>
      <c r="AC2" s="27" t="s">
        <v>39</v>
      </c>
      <c r="AD2" s="27" t="s">
        <v>40</v>
      </c>
      <c r="AE2" s="27" t="s">
        <v>41</v>
      </c>
      <c r="AF2" s="27" t="s">
        <v>42</v>
      </c>
      <c r="AG2" s="28" t="s">
        <v>43</v>
      </c>
      <c r="AH2" s="28" t="s">
        <v>44</v>
      </c>
      <c r="AI2" s="28" t="s">
        <v>45</v>
      </c>
      <c r="AJ2" s="28" t="s">
        <v>46</v>
      </c>
      <c r="AK2" s="89" t="s">
        <v>47</v>
      </c>
      <c r="AL2" s="88" t="s">
        <v>48</v>
      </c>
      <c r="AM2" s="88" t="s">
        <v>49</v>
      </c>
      <c r="AN2" s="29" t="s">
        <v>50</v>
      </c>
    </row>
    <row r="3" spans="2:40">
      <c r="B3" s="40"/>
      <c r="C3" s="112" t="s">
        <v>11</v>
      </c>
      <c r="D3" s="112" t="s">
        <v>9</v>
      </c>
      <c r="F3" s="30" t="s">
        <v>1</v>
      </c>
      <c r="G3" s="31">
        <v>1</v>
      </c>
      <c r="H3" s="32" t="s">
        <v>8</v>
      </c>
      <c r="I3" s="32" t="s">
        <v>9</v>
      </c>
      <c r="J3" s="31">
        <v>1</v>
      </c>
      <c r="K3" s="31">
        <v>1</v>
      </c>
      <c r="L3" s="31" t="s">
        <v>52</v>
      </c>
      <c r="M3" s="31">
        <v>20.04</v>
      </c>
      <c r="N3" s="31">
        <v>19.97</v>
      </c>
      <c r="O3" s="31">
        <v>19.89</v>
      </c>
      <c r="P3" s="31">
        <f>AVERAGE(M3:O3)</f>
        <v>19.966666666666665</v>
      </c>
      <c r="Q3" s="31">
        <f>_xlfn.STDEV.S(M3:O3)</f>
        <v>7.5055534994650619E-2</v>
      </c>
      <c r="R3" s="31">
        <v>39.99</v>
      </c>
      <c r="S3" s="31">
        <v>40.01</v>
      </c>
      <c r="T3" s="31">
        <v>40.020000000000003</v>
      </c>
      <c r="U3" s="31">
        <f t="shared" ref="U3:U12" si="0">AVERAGE(R3:T3)</f>
        <v>40.006666666666668</v>
      </c>
      <c r="V3" s="31">
        <f t="shared" ref="V3:V12" si="1">_xlfn.STDEV.S(R3:T3)</f>
        <v>1.5275252316519527E-2</v>
      </c>
      <c r="W3" s="31"/>
      <c r="X3" s="31"/>
      <c r="Y3" s="31"/>
      <c r="Z3" s="31" t="e">
        <f>AVERAGE(W3:Y3)</f>
        <v>#DIV/0!</v>
      </c>
      <c r="AA3" s="31" t="e">
        <f t="shared" ref="AA3:AA42" si="2">_xlfn.STDEV.S(W3:Y3)</f>
        <v>#DIV/0!</v>
      </c>
      <c r="AB3" s="31">
        <v>28.7</v>
      </c>
      <c r="AC3" s="31">
        <v>29</v>
      </c>
      <c r="AD3" s="31">
        <v>29</v>
      </c>
      <c r="AE3" s="85">
        <f>AVERAGE(AB3:AD3)</f>
        <v>28.900000000000002</v>
      </c>
      <c r="AF3" s="31">
        <f t="shared" ref="AF3" si="3">_xlfn.STDEV.S(AB3:AD3)</f>
        <v>0.17320508075688815</v>
      </c>
      <c r="AG3" s="33">
        <v>0.52</v>
      </c>
      <c r="AH3" s="33">
        <v>0.54</v>
      </c>
      <c r="AI3" s="33">
        <v>0.52</v>
      </c>
      <c r="AJ3" s="33">
        <f>AVERAGE(AG3:AI3)</f>
        <v>0.52666666666666673</v>
      </c>
      <c r="AK3" s="90">
        <f>_xlfn.STDEV.S(AG3:AI3)</f>
        <v>1.1547005383792525E-2</v>
      </c>
      <c r="AL3" s="52">
        <v>45988</v>
      </c>
      <c r="AM3" s="47" t="s">
        <v>53</v>
      </c>
      <c r="AN3" s="35"/>
    </row>
    <row r="4" spans="2:40">
      <c r="B4" s="112" t="s">
        <v>83</v>
      </c>
      <c r="C4" s="40">
        <v>10</v>
      </c>
      <c r="D4" s="40">
        <v>20</v>
      </c>
      <c r="F4" s="14" t="s">
        <v>1</v>
      </c>
      <c r="G4" s="1">
        <v>1</v>
      </c>
      <c r="H4" s="2" t="s">
        <v>8</v>
      </c>
      <c r="I4" s="2" t="s">
        <v>9</v>
      </c>
      <c r="J4" s="1">
        <v>1</v>
      </c>
      <c r="K4" s="1">
        <v>2</v>
      </c>
      <c r="L4" s="1" t="s">
        <v>55</v>
      </c>
      <c r="M4" s="1">
        <v>20.04</v>
      </c>
      <c r="N4" s="1">
        <v>20.100000000000001</v>
      </c>
      <c r="O4" s="1">
        <v>20.04</v>
      </c>
      <c r="P4" s="1">
        <f t="shared" ref="P4:P7" si="4">AVERAGE(M4:O4)</f>
        <v>20.059999999999999</v>
      </c>
      <c r="Q4" s="1">
        <f t="shared" ref="Q4:Q7" si="5">_xlfn.STDEV.S(M4:O4)</f>
        <v>3.4641016151378858E-2</v>
      </c>
      <c r="R4" s="1">
        <v>40.04</v>
      </c>
      <c r="S4" s="1">
        <v>40.020000000000003</v>
      </c>
      <c r="T4" s="1">
        <v>40.04</v>
      </c>
      <c r="U4" s="1">
        <f t="shared" si="0"/>
        <v>40.033333333333331</v>
      </c>
      <c r="V4" s="1">
        <f t="shared" si="1"/>
        <v>1.1547005383790217E-2</v>
      </c>
      <c r="W4" s="1"/>
      <c r="X4" s="1"/>
      <c r="Y4" s="1"/>
      <c r="Z4" s="1" t="e">
        <f t="shared" ref="Z4:Z42" si="6">AVERAGE(W4:Y4)</f>
        <v>#DIV/0!</v>
      </c>
      <c r="AA4" s="1" t="e">
        <f t="shared" si="2"/>
        <v>#DIV/0!</v>
      </c>
      <c r="AB4" s="1">
        <v>28.7</v>
      </c>
      <c r="AC4" s="1">
        <v>29</v>
      </c>
      <c r="AD4" s="1">
        <v>29</v>
      </c>
      <c r="AE4" s="87">
        <f t="shared" ref="AE4:AE7" si="7">AVERAGE(AB4:AD4)</f>
        <v>28.900000000000002</v>
      </c>
      <c r="AF4" s="1">
        <f t="shared" ref="AF4:AF8" si="8">_xlfn.STDEV.S(AB4:AD4)</f>
        <v>0.17320508075688815</v>
      </c>
      <c r="AG4" s="15">
        <v>0.52</v>
      </c>
      <c r="AH4" s="15">
        <v>0.54</v>
      </c>
      <c r="AI4" s="15">
        <v>0.52</v>
      </c>
      <c r="AJ4" s="82">
        <f t="shared" ref="AJ4:AJ7" si="9">AVERAGE(AG4:AI4)</f>
        <v>0.52666666666666673</v>
      </c>
      <c r="AK4" s="91">
        <f t="shared" ref="AK4:AK7" si="10">_xlfn.STDEV.S(AG4:AI4)</f>
        <v>1.1547005383792525E-2</v>
      </c>
      <c r="AL4" s="50">
        <v>45988</v>
      </c>
      <c r="AM4" s="41" t="s">
        <v>53</v>
      </c>
      <c r="AN4" s="17"/>
    </row>
    <row r="5" spans="2:40">
      <c r="B5" s="112" t="s">
        <v>58</v>
      </c>
      <c r="C5" s="40">
        <v>20</v>
      </c>
      <c r="D5" s="40">
        <v>40</v>
      </c>
      <c r="F5" s="14" t="s">
        <v>1</v>
      </c>
      <c r="G5" s="1">
        <v>1</v>
      </c>
      <c r="H5" s="2" t="s">
        <v>8</v>
      </c>
      <c r="I5" s="2" t="s">
        <v>9</v>
      </c>
      <c r="J5" s="1">
        <v>1</v>
      </c>
      <c r="K5" s="1">
        <v>3</v>
      </c>
      <c r="L5" s="1" t="s">
        <v>57</v>
      </c>
      <c r="M5" s="1">
        <v>19.88</v>
      </c>
      <c r="N5" s="1">
        <v>19.89</v>
      </c>
      <c r="O5" s="1">
        <v>19.940000000000001</v>
      </c>
      <c r="P5" s="1">
        <f t="shared" si="4"/>
        <v>19.903333333333332</v>
      </c>
      <c r="Q5" s="1">
        <f t="shared" si="5"/>
        <v>3.2145502536644152E-2</v>
      </c>
      <c r="R5" s="1">
        <v>40.01</v>
      </c>
      <c r="S5" s="1">
        <v>40.04</v>
      </c>
      <c r="T5" s="1">
        <v>40</v>
      </c>
      <c r="U5" s="1">
        <f t="shared" si="0"/>
        <v>40.016666666666666</v>
      </c>
      <c r="V5" s="1">
        <f t="shared" si="1"/>
        <v>2.0816659994661167E-2</v>
      </c>
      <c r="W5" s="1"/>
      <c r="X5" s="1"/>
      <c r="Y5" s="1"/>
      <c r="Z5" s="1" t="e">
        <f t="shared" si="6"/>
        <v>#DIV/0!</v>
      </c>
      <c r="AA5" s="1" t="e">
        <f t="shared" si="2"/>
        <v>#DIV/0!</v>
      </c>
      <c r="AB5" s="1">
        <v>28.7</v>
      </c>
      <c r="AC5" s="1">
        <v>29</v>
      </c>
      <c r="AD5" s="1">
        <v>29</v>
      </c>
      <c r="AE5" s="87">
        <f t="shared" si="7"/>
        <v>28.900000000000002</v>
      </c>
      <c r="AF5" s="1">
        <f t="shared" si="8"/>
        <v>0.17320508075688815</v>
      </c>
      <c r="AG5" s="15">
        <v>0.52</v>
      </c>
      <c r="AH5" s="15">
        <v>0.54</v>
      </c>
      <c r="AI5" s="15">
        <v>0.52</v>
      </c>
      <c r="AJ5" s="82">
        <f t="shared" si="9"/>
        <v>0.52666666666666673</v>
      </c>
      <c r="AK5" s="91">
        <f t="shared" si="10"/>
        <v>1.1547005383792525E-2</v>
      </c>
      <c r="AL5" s="50">
        <v>45988</v>
      </c>
      <c r="AM5" s="41" t="s">
        <v>53</v>
      </c>
      <c r="AN5" s="17"/>
    </row>
    <row r="6" spans="2:40">
      <c r="F6" s="14" t="s">
        <v>1</v>
      </c>
      <c r="G6" s="1">
        <v>1</v>
      </c>
      <c r="H6" s="2" t="s">
        <v>8</v>
      </c>
      <c r="I6" s="2" t="s">
        <v>9</v>
      </c>
      <c r="J6" s="1">
        <v>1</v>
      </c>
      <c r="K6" s="1">
        <v>4</v>
      </c>
      <c r="L6" s="1" t="s">
        <v>59</v>
      </c>
      <c r="M6" s="1">
        <v>19.940000000000001</v>
      </c>
      <c r="N6" s="1">
        <v>19.93</v>
      </c>
      <c r="O6" s="1">
        <v>19.97</v>
      </c>
      <c r="P6" s="1">
        <f t="shared" si="4"/>
        <v>19.946666666666669</v>
      </c>
      <c r="Q6" s="1">
        <f t="shared" si="5"/>
        <v>2.0816659994660598E-2</v>
      </c>
      <c r="R6" s="1">
        <v>40.06</v>
      </c>
      <c r="S6" s="1">
        <v>39.99</v>
      </c>
      <c r="T6" s="1">
        <v>40.020000000000003</v>
      </c>
      <c r="U6" s="1">
        <f t="shared" si="0"/>
        <v>40.023333333333341</v>
      </c>
      <c r="V6" s="1">
        <f t="shared" si="1"/>
        <v>3.5118845842842555E-2</v>
      </c>
      <c r="W6" s="1"/>
      <c r="X6" s="1"/>
      <c r="Y6" s="1"/>
      <c r="Z6" s="1" t="e">
        <f t="shared" si="6"/>
        <v>#DIV/0!</v>
      </c>
      <c r="AA6" s="1" t="e">
        <f t="shared" si="2"/>
        <v>#DIV/0!</v>
      </c>
      <c r="AB6" s="1">
        <v>28.7</v>
      </c>
      <c r="AC6" s="1">
        <v>29</v>
      </c>
      <c r="AD6" s="1">
        <v>29</v>
      </c>
      <c r="AE6" s="87">
        <f t="shared" si="7"/>
        <v>28.900000000000002</v>
      </c>
      <c r="AF6" s="1">
        <f t="shared" si="8"/>
        <v>0.17320508075688815</v>
      </c>
      <c r="AG6" s="15">
        <v>0.52</v>
      </c>
      <c r="AH6" s="15">
        <v>0.54</v>
      </c>
      <c r="AI6" s="15">
        <v>0.52</v>
      </c>
      <c r="AJ6" s="82">
        <f t="shared" si="9"/>
        <v>0.52666666666666673</v>
      </c>
      <c r="AK6" s="91">
        <f t="shared" si="10"/>
        <v>1.1547005383792525E-2</v>
      </c>
      <c r="AL6" s="50">
        <v>45988</v>
      </c>
      <c r="AM6" s="41" t="s">
        <v>53</v>
      </c>
      <c r="AN6" s="17"/>
    </row>
    <row r="7" spans="2:40" ht="15.75" thickBot="1">
      <c r="F7" s="19" t="s">
        <v>1</v>
      </c>
      <c r="G7" s="22">
        <v>1</v>
      </c>
      <c r="H7" s="20" t="s">
        <v>8</v>
      </c>
      <c r="I7" s="20" t="s">
        <v>9</v>
      </c>
      <c r="J7" s="22">
        <v>1</v>
      </c>
      <c r="K7" s="22">
        <v>5</v>
      </c>
      <c r="L7" s="22" t="s">
        <v>60</v>
      </c>
      <c r="M7" s="22">
        <v>20.04</v>
      </c>
      <c r="N7" s="22">
        <v>19.98</v>
      </c>
      <c r="O7" s="22">
        <v>19.98</v>
      </c>
      <c r="P7" s="22">
        <f t="shared" si="4"/>
        <v>20</v>
      </c>
      <c r="Q7" s="22">
        <f t="shared" si="5"/>
        <v>3.4641016151376804E-2</v>
      </c>
      <c r="R7" s="22">
        <v>40.03</v>
      </c>
      <c r="S7" s="22">
        <v>39.99</v>
      </c>
      <c r="T7" s="22">
        <v>39.99</v>
      </c>
      <c r="U7" s="22">
        <f t="shared" si="0"/>
        <v>40.003333333333337</v>
      </c>
      <c r="V7" s="22">
        <f t="shared" si="1"/>
        <v>2.3094010767584539E-2</v>
      </c>
      <c r="W7" s="22"/>
      <c r="X7" s="22"/>
      <c r="Y7" s="22"/>
      <c r="Z7" s="22" t="e">
        <f t="shared" si="6"/>
        <v>#DIV/0!</v>
      </c>
      <c r="AA7" s="22" t="e">
        <f t="shared" si="2"/>
        <v>#DIV/0!</v>
      </c>
      <c r="AB7" s="22">
        <v>28.7</v>
      </c>
      <c r="AC7" s="22">
        <v>29</v>
      </c>
      <c r="AD7" s="22">
        <v>29</v>
      </c>
      <c r="AE7" s="86">
        <f t="shared" si="7"/>
        <v>28.900000000000002</v>
      </c>
      <c r="AF7" s="22">
        <f t="shared" si="8"/>
        <v>0.17320508075688815</v>
      </c>
      <c r="AG7" s="24">
        <v>0.52</v>
      </c>
      <c r="AH7" s="24">
        <v>0.54</v>
      </c>
      <c r="AI7" s="24">
        <v>0.52</v>
      </c>
      <c r="AJ7" s="24">
        <f t="shared" si="9"/>
        <v>0.52666666666666673</v>
      </c>
      <c r="AK7" s="108">
        <f t="shared" si="10"/>
        <v>1.1547005383792525E-2</v>
      </c>
      <c r="AL7" s="57">
        <v>45988</v>
      </c>
      <c r="AM7" s="48" t="s">
        <v>53</v>
      </c>
      <c r="AN7" s="36"/>
    </row>
    <row r="8" spans="2:40">
      <c r="F8" s="14" t="s">
        <v>1</v>
      </c>
      <c r="G8" s="2">
        <v>2</v>
      </c>
      <c r="H8" s="2" t="s">
        <v>10</v>
      </c>
      <c r="I8" s="2" t="s">
        <v>11</v>
      </c>
      <c r="J8" s="2">
        <v>1</v>
      </c>
      <c r="K8" s="1">
        <v>6</v>
      </c>
      <c r="L8" s="1" t="s">
        <v>52</v>
      </c>
      <c r="M8" s="3">
        <v>9.9700000000000006</v>
      </c>
      <c r="N8" s="3">
        <v>9.9600000000000009</v>
      </c>
      <c r="O8" s="3">
        <v>9.9700000000000006</v>
      </c>
      <c r="P8" s="1">
        <f>AVERAGE(M8:O8)</f>
        <v>9.9666666666666668</v>
      </c>
      <c r="Q8" s="1">
        <f>_xlfn.STDEV.S(M8:O8)</f>
        <v>5.7735026918961348E-3</v>
      </c>
      <c r="R8" s="3">
        <v>20</v>
      </c>
      <c r="S8" s="3">
        <v>20.02</v>
      </c>
      <c r="T8" s="3">
        <v>20.05</v>
      </c>
      <c r="U8" s="1">
        <f t="shared" si="0"/>
        <v>20.02333333333333</v>
      </c>
      <c r="V8" s="1">
        <f t="shared" si="1"/>
        <v>2.5166114784236235E-2</v>
      </c>
      <c r="Z8" s="1" t="e">
        <f t="shared" si="6"/>
        <v>#DIV/0!</v>
      </c>
      <c r="AA8" s="1" t="e">
        <f t="shared" si="2"/>
        <v>#DIV/0!</v>
      </c>
      <c r="AB8" s="3">
        <v>26.6</v>
      </c>
      <c r="AC8" s="3">
        <v>27.3</v>
      </c>
      <c r="AD8" s="3">
        <v>28.4</v>
      </c>
      <c r="AE8" s="87">
        <f>AVERAGE(AB8:AD8)</f>
        <v>27.433333333333337</v>
      </c>
      <c r="AF8" s="1">
        <f t="shared" si="8"/>
        <v>0.9073771725877452</v>
      </c>
      <c r="AG8" s="107">
        <v>0.59</v>
      </c>
      <c r="AH8" s="107">
        <v>0.59</v>
      </c>
      <c r="AI8" s="107">
        <v>0.53</v>
      </c>
      <c r="AJ8" s="15">
        <f>AVERAGE(AG8:AI8)</f>
        <v>0.56999999999999995</v>
      </c>
      <c r="AK8" s="91">
        <f>_xlfn.STDEV.S(AG8:AI8)</f>
        <v>3.4641016151377511E-2</v>
      </c>
      <c r="AL8" s="50">
        <v>45988</v>
      </c>
      <c r="AM8" s="41" t="s">
        <v>53</v>
      </c>
      <c r="AN8" s="96"/>
    </row>
    <row r="9" spans="2:40">
      <c r="F9" s="14" t="s">
        <v>1</v>
      </c>
      <c r="G9" s="2">
        <v>2</v>
      </c>
      <c r="H9" s="2" t="s">
        <v>10</v>
      </c>
      <c r="I9" s="2" t="s">
        <v>11</v>
      </c>
      <c r="J9" s="2">
        <v>1</v>
      </c>
      <c r="K9" s="1">
        <v>7</v>
      </c>
      <c r="L9" s="1" t="s">
        <v>55</v>
      </c>
      <c r="M9" s="3">
        <v>9.9600000000000009</v>
      </c>
      <c r="N9" s="3">
        <v>9.94</v>
      </c>
      <c r="O9" s="3">
        <v>9.9499999999999993</v>
      </c>
      <c r="P9" s="1">
        <f t="shared" ref="P9:P12" si="11">AVERAGE(M9:O9)</f>
        <v>9.9499999999999993</v>
      </c>
      <c r="Q9" s="1">
        <f t="shared" ref="Q9:Q12" si="12">_xlfn.STDEV.S(M9:O9)</f>
        <v>1.0000000000000675E-2</v>
      </c>
      <c r="R9" s="3">
        <v>20.03</v>
      </c>
      <c r="S9" s="3">
        <v>19.95</v>
      </c>
      <c r="T9" s="3">
        <v>19.989999999999998</v>
      </c>
      <c r="U9" s="1">
        <f t="shared" si="0"/>
        <v>19.989999999999998</v>
      </c>
      <c r="V9" s="1">
        <f t="shared" si="1"/>
        <v>4.0000000000000924E-2</v>
      </c>
      <c r="Z9" s="1" t="e">
        <f t="shared" si="6"/>
        <v>#DIV/0!</v>
      </c>
      <c r="AA9" s="1" t="e">
        <f t="shared" si="2"/>
        <v>#DIV/0!</v>
      </c>
      <c r="AB9" s="3">
        <v>26.6</v>
      </c>
      <c r="AC9" s="3">
        <v>27.3</v>
      </c>
      <c r="AD9" s="3">
        <v>28.4</v>
      </c>
      <c r="AE9" s="87">
        <f t="shared" ref="AE9:AE12" si="13">AVERAGE(AB9:AD9)</f>
        <v>27.433333333333337</v>
      </c>
      <c r="AF9" s="1">
        <f t="shared" ref="AF9:AF27" si="14">_xlfn.STDEV.S(AB9:AD9)</f>
        <v>0.9073771725877452</v>
      </c>
      <c r="AG9" s="92">
        <v>0.59</v>
      </c>
      <c r="AH9" s="92">
        <v>0.59</v>
      </c>
      <c r="AI9" s="92">
        <v>0.53</v>
      </c>
      <c r="AJ9" s="82">
        <f t="shared" ref="AJ9:AJ12" si="15">AVERAGE(AG9:AI9)</f>
        <v>0.56999999999999995</v>
      </c>
      <c r="AK9" s="91">
        <f t="shared" ref="AK9:AK12" si="16">_xlfn.STDEV.S(AG9:AI9)</f>
        <v>3.4641016151377511E-2</v>
      </c>
      <c r="AL9" s="50">
        <v>45988</v>
      </c>
      <c r="AM9" s="41" t="s">
        <v>53</v>
      </c>
      <c r="AN9" s="96"/>
    </row>
    <row r="10" spans="2:40">
      <c r="F10" s="14" t="s">
        <v>1</v>
      </c>
      <c r="G10" s="2">
        <v>2</v>
      </c>
      <c r="H10" s="2" t="s">
        <v>10</v>
      </c>
      <c r="I10" s="2" t="s">
        <v>11</v>
      </c>
      <c r="J10" s="2">
        <v>1</v>
      </c>
      <c r="K10" s="1">
        <v>8</v>
      </c>
      <c r="L10" s="1" t="s">
        <v>57</v>
      </c>
      <c r="M10" s="3">
        <v>9.9600000000000009</v>
      </c>
      <c r="N10" s="3">
        <v>9.9600000000000009</v>
      </c>
      <c r="O10" s="3">
        <v>9.9700000000000006</v>
      </c>
      <c r="P10" s="1">
        <f t="shared" si="11"/>
        <v>9.9633333333333329</v>
      </c>
      <c r="Q10" s="1">
        <f t="shared" si="12"/>
        <v>5.7735026918961348E-3</v>
      </c>
      <c r="R10" s="3">
        <v>20</v>
      </c>
      <c r="S10" s="3">
        <v>20</v>
      </c>
      <c r="T10" s="3">
        <v>20.03</v>
      </c>
      <c r="U10" s="1">
        <f t="shared" si="0"/>
        <v>20.010000000000002</v>
      </c>
      <c r="V10" s="1">
        <f t="shared" si="1"/>
        <v>1.7320508075689429E-2</v>
      </c>
      <c r="Z10" s="1" t="e">
        <f t="shared" si="6"/>
        <v>#DIV/0!</v>
      </c>
      <c r="AA10" s="1" t="e">
        <f t="shared" si="2"/>
        <v>#DIV/0!</v>
      </c>
      <c r="AB10" s="3">
        <v>26.6</v>
      </c>
      <c r="AC10" s="3">
        <v>27.3</v>
      </c>
      <c r="AD10" s="3">
        <v>28.4</v>
      </c>
      <c r="AE10" s="87">
        <f t="shared" si="13"/>
        <v>27.433333333333337</v>
      </c>
      <c r="AF10" s="1">
        <f t="shared" si="14"/>
        <v>0.9073771725877452</v>
      </c>
      <c r="AG10" s="92">
        <v>0.59</v>
      </c>
      <c r="AH10" s="92">
        <v>0.59</v>
      </c>
      <c r="AI10" s="92">
        <v>0.53</v>
      </c>
      <c r="AJ10" s="82">
        <f t="shared" si="15"/>
        <v>0.56999999999999995</v>
      </c>
      <c r="AK10" s="91">
        <f t="shared" si="16"/>
        <v>3.4641016151377511E-2</v>
      </c>
      <c r="AL10" s="50">
        <v>45988</v>
      </c>
      <c r="AM10" s="41" t="s">
        <v>53</v>
      </c>
      <c r="AN10" s="96"/>
    </row>
    <row r="11" spans="2:40">
      <c r="F11" s="14" t="s">
        <v>1</v>
      </c>
      <c r="G11" s="2">
        <v>2</v>
      </c>
      <c r="H11" s="2" t="s">
        <v>10</v>
      </c>
      <c r="I11" s="2" t="s">
        <v>11</v>
      </c>
      <c r="J11" s="2">
        <v>1</v>
      </c>
      <c r="K11" s="1">
        <v>9</v>
      </c>
      <c r="L11" s="1" t="s">
        <v>59</v>
      </c>
      <c r="M11" s="3">
        <v>9.9499999999999993</v>
      </c>
      <c r="N11" s="3">
        <v>9.98</v>
      </c>
      <c r="O11" s="3">
        <v>9.9600000000000009</v>
      </c>
      <c r="P11" s="1">
        <f t="shared" si="11"/>
        <v>9.9633333333333329</v>
      </c>
      <c r="Q11" s="1">
        <f t="shared" si="12"/>
        <v>1.5275252316519916E-2</v>
      </c>
      <c r="R11" s="3">
        <v>20</v>
      </c>
      <c r="S11" s="3">
        <v>20.03</v>
      </c>
      <c r="T11" s="3">
        <v>20.05</v>
      </c>
      <c r="U11" s="1">
        <f t="shared" si="0"/>
        <v>20.026666666666667</v>
      </c>
      <c r="V11" s="1">
        <f t="shared" si="1"/>
        <v>2.5166114784236238E-2</v>
      </c>
      <c r="Z11" s="1" t="e">
        <f t="shared" si="6"/>
        <v>#DIV/0!</v>
      </c>
      <c r="AA11" s="1" t="e">
        <f t="shared" si="2"/>
        <v>#DIV/0!</v>
      </c>
      <c r="AB11" s="3">
        <v>26.6</v>
      </c>
      <c r="AC11" s="3">
        <v>27.3</v>
      </c>
      <c r="AD11" s="3">
        <v>28.4</v>
      </c>
      <c r="AE11" s="87">
        <f t="shared" si="13"/>
        <v>27.433333333333337</v>
      </c>
      <c r="AF11" s="1">
        <f t="shared" si="14"/>
        <v>0.9073771725877452</v>
      </c>
      <c r="AG11" s="92">
        <v>0.59</v>
      </c>
      <c r="AH11" s="92">
        <v>0.59</v>
      </c>
      <c r="AI11" s="92">
        <v>0.53</v>
      </c>
      <c r="AJ11" s="82">
        <f t="shared" si="15"/>
        <v>0.56999999999999995</v>
      </c>
      <c r="AK11" s="91">
        <f t="shared" si="16"/>
        <v>3.4641016151377511E-2</v>
      </c>
      <c r="AL11" s="50">
        <v>45988</v>
      </c>
      <c r="AM11" s="41" t="s">
        <v>53</v>
      </c>
      <c r="AN11" s="96"/>
    </row>
    <row r="12" spans="2:40" ht="15.75" thickBot="1">
      <c r="F12" s="14" t="s">
        <v>1</v>
      </c>
      <c r="G12" s="2">
        <v>2</v>
      </c>
      <c r="H12" s="2" t="s">
        <v>10</v>
      </c>
      <c r="I12" s="2" t="s">
        <v>11</v>
      </c>
      <c r="J12" s="2">
        <v>1</v>
      </c>
      <c r="K12" s="1">
        <v>10</v>
      </c>
      <c r="L12" s="1" t="s">
        <v>60</v>
      </c>
      <c r="M12" s="3">
        <v>9.9700000000000006</v>
      </c>
      <c r="N12" s="3">
        <v>9.94</v>
      </c>
      <c r="O12" s="3">
        <v>9.9600000000000009</v>
      </c>
      <c r="P12" s="1">
        <f t="shared" si="11"/>
        <v>9.956666666666667</v>
      </c>
      <c r="Q12" s="1">
        <f t="shared" si="12"/>
        <v>1.527525231652011E-2</v>
      </c>
      <c r="R12" s="21">
        <v>19.93</v>
      </c>
      <c r="S12" s="21">
        <v>19.920000000000002</v>
      </c>
      <c r="T12" s="21">
        <v>20.010000000000002</v>
      </c>
      <c r="U12" s="1">
        <f t="shared" si="0"/>
        <v>19.953333333333333</v>
      </c>
      <c r="V12" s="1">
        <f t="shared" si="1"/>
        <v>4.932882862316286E-2</v>
      </c>
      <c r="W12" s="21"/>
      <c r="X12" s="21"/>
      <c r="Y12" s="21"/>
      <c r="Z12" s="1" t="e">
        <f t="shared" si="6"/>
        <v>#DIV/0!</v>
      </c>
      <c r="AA12" s="1" t="e">
        <f t="shared" si="2"/>
        <v>#DIV/0!</v>
      </c>
      <c r="AB12" s="3">
        <v>26.6</v>
      </c>
      <c r="AC12" s="3">
        <v>27.3</v>
      </c>
      <c r="AD12" s="3">
        <v>28.4</v>
      </c>
      <c r="AE12" s="87">
        <f t="shared" si="13"/>
        <v>27.433333333333337</v>
      </c>
      <c r="AF12" s="1">
        <f t="shared" si="14"/>
        <v>0.9073771725877452</v>
      </c>
      <c r="AG12" s="92">
        <v>0.59</v>
      </c>
      <c r="AH12" s="92">
        <v>0.59</v>
      </c>
      <c r="AI12" s="92">
        <v>0.53</v>
      </c>
      <c r="AJ12" s="82">
        <f t="shared" si="15"/>
        <v>0.56999999999999995</v>
      </c>
      <c r="AK12" s="91">
        <f t="shared" si="16"/>
        <v>3.4641016151377511E-2</v>
      </c>
      <c r="AL12" s="50">
        <v>45988</v>
      </c>
      <c r="AM12" s="41" t="s">
        <v>53</v>
      </c>
      <c r="AN12" s="96"/>
    </row>
    <row r="13" spans="2:40">
      <c r="F13" s="30" t="s">
        <v>1</v>
      </c>
      <c r="G13" s="32">
        <v>3</v>
      </c>
      <c r="H13" s="32" t="s">
        <v>12</v>
      </c>
      <c r="I13" s="32" t="s">
        <v>9</v>
      </c>
      <c r="J13" s="32">
        <v>1</v>
      </c>
      <c r="K13" s="31">
        <v>11</v>
      </c>
      <c r="L13" s="31" t="s">
        <v>52</v>
      </c>
      <c r="M13" s="39">
        <v>20.05</v>
      </c>
      <c r="N13" s="39">
        <v>20.03</v>
      </c>
      <c r="O13" s="39">
        <v>19.96</v>
      </c>
      <c r="P13" s="31">
        <f>AVERAGE(M13:O13)</f>
        <v>20.013333333333332</v>
      </c>
      <c r="Q13" s="31">
        <f>_xlfn.STDEV.S(M13:O13)</f>
        <v>4.725815626252608E-2</v>
      </c>
      <c r="R13" s="3">
        <v>39.97</v>
      </c>
      <c r="S13" s="3">
        <v>39.96</v>
      </c>
      <c r="T13" s="3">
        <v>40</v>
      </c>
      <c r="U13" s="31">
        <f t="shared" ref="U13:U27" si="17">AVERAGE(R13:T13)</f>
        <v>39.976666666666667</v>
      </c>
      <c r="V13" s="31">
        <f t="shared" ref="V13:V27" si="18">_xlfn.STDEV.S(R13:T13)</f>
        <v>2.0816659994661167E-2</v>
      </c>
      <c r="Z13" s="31" t="e">
        <f t="shared" si="6"/>
        <v>#DIV/0!</v>
      </c>
      <c r="AA13" s="31" t="e">
        <f t="shared" si="2"/>
        <v>#DIV/0!</v>
      </c>
      <c r="AB13" s="39">
        <v>25.3</v>
      </c>
      <c r="AC13" s="39">
        <v>28.1</v>
      </c>
      <c r="AD13" s="39">
        <v>29</v>
      </c>
      <c r="AE13" s="85">
        <f>AVERAGE(AB13:AD13)</f>
        <v>27.466666666666669</v>
      </c>
      <c r="AF13" s="31">
        <f t="shared" si="14"/>
        <v>1.9295940851208404</v>
      </c>
      <c r="AG13" s="94">
        <v>0.63</v>
      </c>
      <c r="AH13" s="94">
        <v>0.53</v>
      </c>
      <c r="AI13" s="94">
        <v>0.51</v>
      </c>
      <c r="AJ13" s="33">
        <f>AVERAGE(AG13:AI13)</f>
        <v>0.55666666666666675</v>
      </c>
      <c r="AK13" s="90">
        <f>_xlfn.STDEV.S(AG13:AI13)</f>
        <v>6.4291005073286361E-2</v>
      </c>
      <c r="AL13" s="102">
        <v>45989</v>
      </c>
      <c r="AM13" s="39" t="s">
        <v>53</v>
      </c>
      <c r="AN13" s="95"/>
    </row>
    <row r="14" spans="2:40">
      <c r="F14" s="14" t="s">
        <v>1</v>
      </c>
      <c r="G14" s="2">
        <v>3</v>
      </c>
      <c r="H14" s="2" t="s">
        <v>12</v>
      </c>
      <c r="I14" s="2" t="s">
        <v>9</v>
      </c>
      <c r="J14" s="2">
        <v>1</v>
      </c>
      <c r="K14" s="1">
        <v>12</v>
      </c>
      <c r="L14" s="1" t="s">
        <v>55</v>
      </c>
      <c r="M14" s="3">
        <v>19.920000000000002</v>
      </c>
      <c r="N14" s="3">
        <v>19.89</v>
      </c>
      <c r="O14" s="3">
        <v>19.98</v>
      </c>
      <c r="P14" s="1">
        <f t="shared" ref="P14:P17" si="19">AVERAGE(M14:O14)</f>
        <v>19.930000000000003</v>
      </c>
      <c r="Q14" s="1">
        <f t="shared" ref="Q14:Q17" si="20">_xlfn.STDEV.S(M14:O14)</f>
        <v>4.5825756949558198E-2</v>
      </c>
      <c r="R14" s="3">
        <v>39.99</v>
      </c>
      <c r="S14" s="3">
        <v>39.94</v>
      </c>
      <c r="T14" s="3">
        <v>39.93</v>
      </c>
      <c r="U14" s="1">
        <f t="shared" si="17"/>
        <v>39.95333333333334</v>
      </c>
      <c r="V14" s="1">
        <f t="shared" si="18"/>
        <v>3.2145502536644895E-2</v>
      </c>
      <c r="Z14" s="1" t="e">
        <f t="shared" si="6"/>
        <v>#DIV/0!</v>
      </c>
      <c r="AA14" s="1" t="e">
        <f t="shared" si="2"/>
        <v>#DIV/0!</v>
      </c>
      <c r="AB14" s="3">
        <v>25.3</v>
      </c>
      <c r="AC14" s="3">
        <v>28.1</v>
      </c>
      <c r="AD14" s="3">
        <v>29</v>
      </c>
      <c r="AE14" s="87">
        <f t="shared" ref="AE14:AE17" si="21">AVERAGE(AB14:AD14)</f>
        <v>27.466666666666669</v>
      </c>
      <c r="AF14" s="1">
        <f t="shared" si="14"/>
        <v>1.9295940851208404</v>
      </c>
      <c r="AG14" s="92">
        <v>0.63</v>
      </c>
      <c r="AH14" s="92">
        <v>0.53</v>
      </c>
      <c r="AI14" s="92">
        <v>0.51</v>
      </c>
      <c r="AJ14" s="82">
        <f t="shared" ref="AJ14:AJ17" si="22">AVERAGE(AG14:AI14)</f>
        <v>0.55666666666666675</v>
      </c>
      <c r="AK14" s="91">
        <f t="shared" ref="AK14:AK17" si="23">_xlfn.STDEV.S(AG14:AI14)</f>
        <v>6.4291005073286361E-2</v>
      </c>
      <c r="AL14" s="103">
        <v>45989</v>
      </c>
      <c r="AM14" s="3" t="s">
        <v>53</v>
      </c>
      <c r="AN14" s="96"/>
    </row>
    <row r="15" spans="2:40">
      <c r="F15" s="14" t="s">
        <v>1</v>
      </c>
      <c r="G15" s="2">
        <v>3</v>
      </c>
      <c r="H15" s="2" t="s">
        <v>12</v>
      </c>
      <c r="I15" s="2" t="s">
        <v>9</v>
      </c>
      <c r="J15" s="2">
        <v>1</v>
      </c>
      <c r="K15" s="1">
        <v>13</v>
      </c>
      <c r="L15" s="1" t="s">
        <v>57</v>
      </c>
      <c r="M15" s="3">
        <v>19.91</v>
      </c>
      <c r="N15" s="3">
        <v>20.02</v>
      </c>
      <c r="O15" s="3">
        <v>19.88</v>
      </c>
      <c r="P15" s="1">
        <f t="shared" si="19"/>
        <v>19.936666666666667</v>
      </c>
      <c r="Q15" s="1">
        <f t="shared" si="20"/>
        <v>7.3711147958320053E-2</v>
      </c>
      <c r="R15" s="3">
        <v>39.979999999999997</v>
      </c>
      <c r="S15" s="3">
        <v>39.97</v>
      </c>
      <c r="T15" s="3">
        <v>40.020000000000003</v>
      </c>
      <c r="U15" s="1">
        <f t="shared" si="17"/>
        <v>39.99</v>
      </c>
      <c r="V15" s="1">
        <f t="shared" si="18"/>
        <v>2.6457513110648697E-2</v>
      </c>
      <c r="Z15" s="1" t="e">
        <f t="shared" si="6"/>
        <v>#DIV/0!</v>
      </c>
      <c r="AA15" s="1" t="e">
        <f t="shared" si="2"/>
        <v>#DIV/0!</v>
      </c>
      <c r="AB15" s="3">
        <v>25.3</v>
      </c>
      <c r="AC15" s="3">
        <v>28.1</v>
      </c>
      <c r="AD15" s="3">
        <v>29</v>
      </c>
      <c r="AE15" s="87">
        <f t="shared" si="21"/>
        <v>27.466666666666669</v>
      </c>
      <c r="AF15" s="1">
        <f t="shared" si="14"/>
        <v>1.9295940851208404</v>
      </c>
      <c r="AG15" s="92">
        <v>0.63</v>
      </c>
      <c r="AH15" s="92">
        <v>0.53</v>
      </c>
      <c r="AI15" s="92">
        <v>0.51</v>
      </c>
      <c r="AJ15" s="82">
        <f t="shared" si="22"/>
        <v>0.55666666666666675</v>
      </c>
      <c r="AK15" s="91">
        <f t="shared" si="23"/>
        <v>6.4291005073286361E-2</v>
      </c>
      <c r="AL15" s="103">
        <v>45989</v>
      </c>
      <c r="AM15" s="3" t="s">
        <v>53</v>
      </c>
      <c r="AN15" s="96"/>
    </row>
    <row r="16" spans="2:40">
      <c r="F16" s="14" t="s">
        <v>1</v>
      </c>
      <c r="G16" s="2">
        <v>3</v>
      </c>
      <c r="H16" s="2" t="s">
        <v>12</v>
      </c>
      <c r="I16" s="2" t="s">
        <v>9</v>
      </c>
      <c r="J16" s="2">
        <v>1</v>
      </c>
      <c r="K16" s="1">
        <v>14</v>
      </c>
      <c r="L16" s="1" t="s">
        <v>59</v>
      </c>
      <c r="M16" s="3">
        <v>19.93</v>
      </c>
      <c r="N16" s="3">
        <v>19.850000000000001</v>
      </c>
      <c r="O16" s="3">
        <v>19.87</v>
      </c>
      <c r="P16" s="1">
        <f t="shared" si="19"/>
        <v>19.883333333333336</v>
      </c>
      <c r="Q16" s="1">
        <f t="shared" si="20"/>
        <v>4.1633319989321772E-2</v>
      </c>
      <c r="R16" s="3">
        <v>40.03</v>
      </c>
      <c r="S16" s="3">
        <v>39.950000000000003</v>
      </c>
      <c r="T16" s="3">
        <v>39.96</v>
      </c>
      <c r="U16" s="1">
        <f t="shared" si="17"/>
        <v>39.979999999999997</v>
      </c>
      <c r="V16" s="1">
        <f t="shared" si="18"/>
        <v>4.3588989435406213E-2</v>
      </c>
      <c r="Z16" s="1" t="e">
        <f t="shared" si="6"/>
        <v>#DIV/0!</v>
      </c>
      <c r="AA16" s="1" t="e">
        <f t="shared" si="2"/>
        <v>#DIV/0!</v>
      </c>
      <c r="AB16" s="3">
        <v>25.3</v>
      </c>
      <c r="AC16" s="3">
        <v>28.1</v>
      </c>
      <c r="AD16" s="3">
        <v>29</v>
      </c>
      <c r="AE16" s="87">
        <f t="shared" si="21"/>
        <v>27.466666666666669</v>
      </c>
      <c r="AF16" s="1">
        <f t="shared" si="14"/>
        <v>1.9295940851208404</v>
      </c>
      <c r="AG16" s="92">
        <v>0.63</v>
      </c>
      <c r="AH16" s="92">
        <v>0.53</v>
      </c>
      <c r="AI16" s="92">
        <v>0.51</v>
      </c>
      <c r="AJ16" s="82">
        <f t="shared" si="22"/>
        <v>0.55666666666666675</v>
      </c>
      <c r="AK16" s="91">
        <f t="shared" si="23"/>
        <v>6.4291005073286361E-2</v>
      </c>
      <c r="AL16" s="103">
        <v>45989</v>
      </c>
      <c r="AM16" s="3" t="s">
        <v>53</v>
      </c>
      <c r="AN16" s="96"/>
    </row>
    <row r="17" spans="6:40" ht="15.75" thickBot="1">
      <c r="F17" s="14" t="s">
        <v>1</v>
      </c>
      <c r="G17" s="2">
        <v>3</v>
      </c>
      <c r="H17" s="2" t="s">
        <v>12</v>
      </c>
      <c r="I17" s="2" t="s">
        <v>9</v>
      </c>
      <c r="J17" s="2">
        <v>1</v>
      </c>
      <c r="K17" s="1">
        <v>15</v>
      </c>
      <c r="L17" s="1" t="s">
        <v>60</v>
      </c>
      <c r="M17" s="3">
        <v>19.95</v>
      </c>
      <c r="N17" s="3">
        <v>19.91</v>
      </c>
      <c r="O17" s="3">
        <v>19.89</v>
      </c>
      <c r="P17" s="1">
        <f t="shared" si="19"/>
        <v>19.916666666666668</v>
      </c>
      <c r="Q17" s="1">
        <f t="shared" si="20"/>
        <v>3.0550504633038281E-2</v>
      </c>
      <c r="R17" s="21">
        <v>39.99</v>
      </c>
      <c r="S17" s="21">
        <v>40.01</v>
      </c>
      <c r="T17" s="21">
        <v>39.99</v>
      </c>
      <c r="U17" s="1">
        <f t="shared" si="17"/>
        <v>39.99666666666667</v>
      </c>
      <c r="V17" s="1">
        <f t="shared" si="18"/>
        <v>1.1547005383790217E-2</v>
      </c>
      <c r="W17" s="21"/>
      <c r="X17" s="21"/>
      <c r="Y17" s="21"/>
      <c r="Z17" s="1" t="e">
        <f t="shared" si="6"/>
        <v>#DIV/0!</v>
      </c>
      <c r="AA17" s="1" t="e">
        <f t="shared" si="2"/>
        <v>#DIV/0!</v>
      </c>
      <c r="AB17" s="3">
        <v>25.3</v>
      </c>
      <c r="AC17" s="3">
        <v>28.1</v>
      </c>
      <c r="AD17" s="3">
        <v>29</v>
      </c>
      <c r="AE17" s="87">
        <f t="shared" si="21"/>
        <v>27.466666666666669</v>
      </c>
      <c r="AF17" s="1">
        <f t="shared" si="14"/>
        <v>1.9295940851208404</v>
      </c>
      <c r="AG17" s="92">
        <v>0.63</v>
      </c>
      <c r="AH17" s="92">
        <v>0.53</v>
      </c>
      <c r="AI17" s="92">
        <v>0.51</v>
      </c>
      <c r="AJ17" s="82">
        <f t="shared" si="22"/>
        <v>0.55666666666666675</v>
      </c>
      <c r="AK17" s="91">
        <f t="shared" si="23"/>
        <v>6.4291005073286361E-2</v>
      </c>
      <c r="AL17" s="103">
        <v>45989</v>
      </c>
      <c r="AM17" s="3" t="s">
        <v>53</v>
      </c>
      <c r="AN17" s="96"/>
    </row>
    <row r="18" spans="6:40">
      <c r="F18" s="30" t="s">
        <v>1</v>
      </c>
      <c r="G18" s="32">
        <v>4</v>
      </c>
      <c r="H18" s="32" t="s">
        <v>10</v>
      </c>
      <c r="I18" s="32" t="s">
        <v>9</v>
      </c>
      <c r="J18" s="39">
        <v>1</v>
      </c>
      <c r="K18" s="31">
        <v>16</v>
      </c>
      <c r="L18" s="31" t="s">
        <v>52</v>
      </c>
      <c r="M18" s="39">
        <v>19.89</v>
      </c>
      <c r="N18" s="39">
        <v>19.88</v>
      </c>
      <c r="O18" s="39">
        <v>19.91</v>
      </c>
      <c r="P18" s="31">
        <f>AVERAGE(M18:O18)</f>
        <v>19.893333333333331</v>
      </c>
      <c r="Q18" s="31">
        <f>_xlfn.STDEV.S(M18:O18)</f>
        <v>1.5275252316519916E-2</v>
      </c>
      <c r="R18" s="3">
        <v>40.07</v>
      </c>
      <c r="S18" s="3">
        <v>40.01</v>
      </c>
      <c r="T18" s="3">
        <v>40.07</v>
      </c>
      <c r="U18" s="31">
        <f t="shared" si="17"/>
        <v>40.050000000000004</v>
      </c>
      <c r="V18" s="31">
        <f t="shared" si="18"/>
        <v>3.4641016151378864E-2</v>
      </c>
      <c r="Z18" s="31" t="e">
        <f t="shared" si="6"/>
        <v>#DIV/0!</v>
      </c>
      <c r="AA18" s="31" t="e">
        <f t="shared" si="2"/>
        <v>#DIV/0!</v>
      </c>
      <c r="AB18" s="39">
        <v>21.6</v>
      </c>
      <c r="AC18" s="39">
        <v>27.9</v>
      </c>
      <c r="AD18" s="39">
        <v>28.5</v>
      </c>
      <c r="AE18" s="85">
        <f>AVERAGE(AB18:AD18)</f>
        <v>26</v>
      </c>
      <c r="AF18" s="31">
        <f t="shared" si="14"/>
        <v>3.8223029707232952</v>
      </c>
      <c r="AG18" s="94">
        <v>0.8</v>
      </c>
      <c r="AH18" s="94">
        <v>0.56999999999999995</v>
      </c>
      <c r="AI18" s="94">
        <v>0.52</v>
      </c>
      <c r="AJ18" s="33">
        <f>AVERAGE(AG18:AI18)</f>
        <v>0.63</v>
      </c>
      <c r="AK18" s="90">
        <f>_xlfn.STDEV.S(AG18:AI18)</f>
        <v>0.14933184523068074</v>
      </c>
      <c r="AL18" s="102">
        <v>45989</v>
      </c>
      <c r="AM18" s="39" t="s">
        <v>53</v>
      </c>
      <c r="AN18" s="95"/>
    </row>
    <row r="19" spans="6:40">
      <c r="F19" s="14" t="s">
        <v>1</v>
      </c>
      <c r="G19" s="2">
        <v>4</v>
      </c>
      <c r="H19" s="2" t="s">
        <v>10</v>
      </c>
      <c r="I19" s="2" t="s">
        <v>9</v>
      </c>
      <c r="J19" s="3">
        <v>1</v>
      </c>
      <c r="K19" s="1">
        <v>17</v>
      </c>
      <c r="L19" s="1" t="s">
        <v>55</v>
      </c>
      <c r="M19" s="3">
        <v>19.940000000000001</v>
      </c>
      <c r="N19" s="3">
        <v>19.91</v>
      </c>
      <c r="O19" s="3">
        <v>19.93</v>
      </c>
      <c r="P19" s="1">
        <f t="shared" ref="P19:P22" si="24">AVERAGE(M19:O19)</f>
        <v>19.926666666666666</v>
      </c>
      <c r="Q19" s="1">
        <f t="shared" ref="Q19:Q22" si="25">_xlfn.STDEV.S(M19:O19)</f>
        <v>1.5275252316519916E-2</v>
      </c>
      <c r="R19" s="3">
        <v>39.9</v>
      </c>
      <c r="S19" s="3">
        <v>39.9</v>
      </c>
      <c r="T19" s="3">
        <v>39.96</v>
      </c>
      <c r="U19" s="1">
        <f t="shared" si="17"/>
        <v>39.919999999999995</v>
      </c>
      <c r="V19" s="1">
        <f t="shared" si="18"/>
        <v>3.4641016151378858E-2</v>
      </c>
      <c r="Z19" s="1" t="e">
        <f t="shared" si="6"/>
        <v>#DIV/0!</v>
      </c>
      <c r="AA19" s="1" t="e">
        <f t="shared" si="2"/>
        <v>#DIV/0!</v>
      </c>
      <c r="AB19" s="3">
        <v>21.6</v>
      </c>
      <c r="AC19" s="3">
        <v>27.9</v>
      </c>
      <c r="AD19" s="3">
        <v>28.5</v>
      </c>
      <c r="AE19" s="87">
        <f t="shared" ref="AE19:AE22" si="26">AVERAGE(AB19:AD19)</f>
        <v>26</v>
      </c>
      <c r="AF19" s="1">
        <f t="shared" si="14"/>
        <v>3.8223029707232952</v>
      </c>
      <c r="AG19" s="92">
        <v>0.8</v>
      </c>
      <c r="AH19" s="92">
        <v>0.56999999999999995</v>
      </c>
      <c r="AI19" s="92">
        <v>0.52</v>
      </c>
      <c r="AJ19" s="82">
        <f t="shared" ref="AJ19:AJ22" si="27">AVERAGE(AG19:AI19)</f>
        <v>0.63</v>
      </c>
      <c r="AK19" s="91">
        <f t="shared" ref="AK19:AK22" si="28">_xlfn.STDEV.S(AG19:AI19)</f>
        <v>0.14933184523068074</v>
      </c>
      <c r="AL19" s="103">
        <v>45989</v>
      </c>
      <c r="AM19" s="3" t="s">
        <v>53</v>
      </c>
      <c r="AN19" s="96"/>
    </row>
    <row r="20" spans="6:40">
      <c r="F20" s="14" t="s">
        <v>1</v>
      </c>
      <c r="G20" s="2">
        <v>4</v>
      </c>
      <c r="H20" s="2" t="s">
        <v>10</v>
      </c>
      <c r="I20" s="2" t="s">
        <v>9</v>
      </c>
      <c r="J20" s="3">
        <v>1</v>
      </c>
      <c r="K20" s="1">
        <v>18</v>
      </c>
      <c r="L20" s="1" t="s">
        <v>57</v>
      </c>
      <c r="M20" s="3">
        <v>19.920000000000002</v>
      </c>
      <c r="N20" s="3">
        <v>19.93</v>
      </c>
      <c r="O20" s="3">
        <v>19.920000000000002</v>
      </c>
      <c r="P20" s="1">
        <f t="shared" si="24"/>
        <v>19.923333333333336</v>
      </c>
      <c r="Q20" s="1">
        <f t="shared" si="25"/>
        <v>5.7735026918951087E-3</v>
      </c>
      <c r="R20" s="3">
        <v>39.880000000000003</v>
      </c>
      <c r="S20" s="3">
        <v>39.94</v>
      </c>
      <c r="T20" s="3">
        <v>40.01</v>
      </c>
      <c r="U20" s="1">
        <f t="shared" si="17"/>
        <v>39.943333333333328</v>
      </c>
      <c r="V20" s="1">
        <f t="shared" si="18"/>
        <v>6.5064070986474917E-2</v>
      </c>
      <c r="Z20" s="1" t="e">
        <f t="shared" si="6"/>
        <v>#DIV/0!</v>
      </c>
      <c r="AA20" s="1" t="e">
        <f t="shared" si="2"/>
        <v>#DIV/0!</v>
      </c>
      <c r="AB20" s="3">
        <v>21.6</v>
      </c>
      <c r="AC20" s="3">
        <v>27.9</v>
      </c>
      <c r="AD20" s="3">
        <v>28.5</v>
      </c>
      <c r="AE20" s="87">
        <f t="shared" si="26"/>
        <v>26</v>
      </c>
      <c r="AF20" s="1">
        <f t="shared" si="14"/>
        <v>3.8223029707232952</v>
      </c>
      <c r="AG20" s="92">
        <v>0.8</v>
      </c>
      <c r="AH20" s="92">
        <v>0.56999999999999995</v>
      </c>
      <c r="AI20" s="92">
        <v>0.52</v>
      </c>
      <c r="AJ20" s="82">
        <f t="shared" si="27"/>
        <v>0.63</v>
      </c>
      <c r="AK20" s="91">
        <f t="shared" si="28"/>
        <v>0.14933184523068074</v>
      </c>
      <c r="AL20" s="103">
        <v>45989</v>
      </c>
      <c r="AM20" s="3" t="s">
        <v>53</v>
      </c>
      <c r="AN20" s="96"/>
    </row>
    <row r="21" spans="6:40">
      <c r="F21" s="14" t="s">
        <v>1</v>
      </c>
      <c r="G21" s="2">
        <v>4</v>
      </c>
      <c r="H21" s="2" t="s">
        <v>10</v>
      </c>
      <c r="I21" s="2" t="s">
        <v>9</v>
      </c>
      <c r="J21" s="3">
        <v>1</v>
      </c>
      <c r="K21" s="1">
        <v>19</v>
      </c>
      <c r="L21" s="1" t="s">
        <v>59</v>
      </c>
      <c r="M21" s="3">
        <v>19.96</v>
      </c>
      <c r="N21" s="3">
        <v>19.89</v>
      </c>
      <c r="O21" s="3">
        <v>19.93</v>
      </c>
      <c r="P21" s="1">
        <f t="shared" si="24"/>
        <v>19.926666666666666</v>
      </c>
      <c r="Q21" s="1">
        <f t="shared" si="25"/>
        <v>3.5118845842842555E-2</v>
      </c>
      <c r="R21" s="3">
        <v>39.92</v>
      </c>
      <c r="S21" s="3">
        <v>39.97</v>
      </c>
      <c r="T21" s="3">
        <v>39.950000000000003</v>
      </c>
      <c r="U21" s="1">
        <f t="shared" si="17"/>
        <v>39.946666666666665</v>
      </c>
      <c r="V21" s="1">
        <f t="shared" si="18"/>
        <v>2.516611478423459E-2</v>
      </c>
      <c r="Z21" s="1" t="e">
        <f t="shared" si="6"/>
        <v>#DIV/0!</v>
      </c>
      <c r="AA21" s="1" t="e">
        <f t="shared" si="2"/>
        <v>#DIV/0!</v>
      </c>
      <c r="AB21" s="3">
        <v>21.6</v>
      </c>
      <c r="AC21" s="3">
        <v>27.9</v>
      </c>
      <c r="AD21" s="3">
        <v>28.5</v>
      </c>
      <c r="AE21" s="87">
        <f t="shared" si="26"/>
        <v>26</v>
      </c>
      <c r="AF21" s="1">
        <f t="shared" si="14"/>
        <v>3.8223029707232952</v>
      </c>
      <c r="AG21" s="92">
        <v>0.8</v>
      </c>
      <c r="AH21" s="92">
        <v>0.56999999999999995</v>
      </c>
      <c r="AI21" s="92">
        <v>0.52</v>
      </c>
      <c r="AJ21" s="82">
        <f t="shared" si="27"/>
        <v>0.63</v>
      </c>
      <c r="AK21" s="91">
        <f t="shared" si="28"/>
        <v>0.14933184523068074</v>
      </c>
      <c r="AL21" s="103">
        <v>45989</v>
      </c>
      <c r="AM21" s="3" t="s">
        <v>53</v>
      </c>
      <c r="AN21" s="96"/>
    </row>
    <row r="22" spans="6:40" ht="15.75" thickBot="1">
      <c r="F22" s="14" t="s">
        <v>1</v>
      </c>
      <c r="G22" s="2">
        <v>4</v>
      </c>
      <c r="H22" s="2" t="s">
        <v>10</v>
      </c>
      <c r="I22" s="2" t="s">
        <v>9</v>
      </c>
      <c r="J22" s="3">
        <v>1</v>
      </c>
      <c r="K22" s="1">
        <v>20</v>
      </c>
      <c r="L22" s="1" t="s">
        <v>60</v>
      </c>
      <c r="M22" s="3">
        <v>19.940000000000001</v>
      </c>
      <c r="N22" s="3">
        <v>19.989999999999998</v>
      </c>
      <c r="O22" s="3">
        <v>19.920000000000002</v>
      </c>
      <c r="P22" s="1">
        <f t="shared" si="24"/>
        <v>19.95</v>
      </c>
      <c r="Q22" s="1">
        <f t="shared" si="25"/>
        <v>3.6055512754638142E-2</v>
      </c>
      <c r="R22" s="21">
        <v>39.950000000000003</v>
      </c>
      <c r="S22" s="21">
        <v>39.92</v>
      </c>
      <c r="T22" s="21">
        <v>39.99</v>
      </c>
      <c r="U22" s="1">
        <f t="shared" si="17"/>
        <v>39.95333333333334</v>
      </c>
      <c r="V22" s="1">
        <f t="shared" si="18"/>
        <v>3.5118845842842555E-2</v>
      </c>
      <c r="W22" s="21"/>
      <c r="X22" s="21"/>
      <c r="Y22" s="21"/>
      <c r="Z22" s="1" t="e">
        <f t="shared" si="6"/>
        <v>#DIV/0!</v>
      </c>
      <c r="AA22" s="1" t="e">
        <f t="shared" si="2"/>
        <v>#DIV/0!</v>
      </c>
      <c r="AB22" s="3">
        <v>21.6</v>
      </c>
      <c r="AC22" s="3">
        <v>27.9</v>
      </c>
      <c r="AD22" s="3">
        <v>28.5</v>
      </c>
      <c r="AE22" s="87">
        <f t="shared" si="26"/>
        <v>26</v>
      </c>
      <c r="AF22" s="1">
        <f t="shared" si="14"/>
        <v>3.8223029707232952</v>
      </c>
      <c r="AG22" s="92">
        <v>0.8</v>
      </c>
      <c r="AH22" s="92">
        <v>0.56999999999999995</v>
      </c>
      <c r="AI22" s="92">
        <v>0.52</v>
      </c>
      <c r="AJ22" s="82">
        <f t="shared" si="27"/>
        <v>0.63</v>
      </c>
      <c r="AK22" s="91">
        <f t="shared" si="28"/>
        <v>0.14933184523068074</v>
      </c>
      <c r="AL22" s="103">
        <v>45989</v>
      </c>
      <c r="AM22" s="3" t="s">
        <v>53</v>
      </c>
      <c r="AN22" s="96"/>
    </row>
    <row r="23" spans="6:40">
      <c r="F23" s="30" t="s">
        <v>1</v>
      </c>
      <c r="G23" s="32">
        <v>5</v>
      </c>
      <c r="H23" s="32" t="s">
        <v>8</v>
      </c>
      <c r="I23" s="32" t="s">
        <v>9</v>
      </c>
      <c r="J23" s="32">
        <v>2</v>
      </c>
      <c r="K23" s="31">
        <v>21</v>
      </c>
      <c r="L23" s="31" t="s">
        <v>52</v>
      </c>
      <c r="M23" s="39">
        <v>19.989999999999998</v>
      </c>
      <c r="N23" s="39">
        <v>20.010000000000002</v>
      </c>
      <c r="O23" s="39">
        <v>19.940000000000001</v>
      </c>
      <c r="P23" s="31">
        <f>AVERAGE(M23:O23)</f>
        <v>19.98</v>
      </c>
      <c r="Q23" s="31">
        <f>_xlfn.STDEV.S(M23:O23)</f>
        <v>3.6055512754639613E-2</v>
      </c>
      <c r="R23" s="3">
        <v>40.04</v>
      </c>
      <c r="S23" s="3">
        <v>39.97</v>
      </c>
      <c r="T23" s="3">
        <v>39.99</v>
      </c>
      <c r="U23" s="31">
        <f t="shared" si="17"/>
        <v>40</v>
      </c>
      <c r="V23" s="31">
        <f t="shared" si="18"/>
        <v>3.605551275463962E-2</v>
      </c>
      <c r="Z23" s="31" t="e">
        <f t="shared" si="6"/>
        <v>#DIV/0!</v>
      </c>
      <c r="AA23" s="31" t="e">
        <f t="shared" si="2"/>
        <v>#DIV/0!</v>
      </c>
      <c r="AB23" s="39">
        <v>27.3</v>
      </c>
      <c r="AC23" s="39">
        <v>28.8</v>
      </c>
      <c r="AD23" s="39">
        <v>28.5</v>
      </c>
      <c r="AE23" s="85">
        <f>AVERAGE(AB23:AD23)</f>
        <v>28.2</v>
      </c>
      <c r="AF23" s="31">
        <f t="shared" si="14"/>
        <v>0.79372539331937708</v>
      </c>
      <c r="AG23" s="94">
        <v>0.56999999999999995</v>
      </c>
      <c r="AH23" s="94">
        <v>0.54</v>
      </c>
      <c r="AI23" s="94">
        <v>0.52</v>
      </c>
      <c r="AJ23" s="33">
        <f>AVERAGE(AG23:AI23)</f>
        <v>0.54333333333333333</v>
      </c>
      <c r="AK23" s="90">
        <f>_xlfn.STDEV.S(AG23:AI23)</f>
        <v>2.5166114784235794E-2</v>
      </c>
      <c r="AL23" s="102">
        <v>45989</v>
      </c>
      <c r="AM23" s="39" t="s">
        <v>53</v>
      </c>
      <c r="AN23" s="95"/>
    </row>
    <row r="24" spans="6:40">
      <c r="F24" s="14" t="s">
        <v>1</v>
      </c>
      <c r="G24" s="2">
        <v>5</v>
      </c>
      <c r="H24" s="2" t="s">
        <v>8</v>
      </c>
      <c r="I24" s="2" t="s">
        <v>9</v>
      </c>
      <c r="J24" s="2">
        <v>2</v>
      </c>
      <c r="K24" s="1">
        <v>22</v>
      </c>
      <c r="L24" s="1" t="s">
        <v>55</v>
      </c>
      <c r="M24" s="3">
        <v>20.04</v>
      </c>
      <c r="N24" s="3">
        <v>20.010000000000002</v>
      </c>
      <c r="O24" s="3">
        <v>19.98</v>
      </c>
      <c r="P24" s="1">
        <f t="shared" ref="P24:P27" si="29">AVERAGE(M24:O24)</f>
        <v>20.010000000000002</v>
      </c>
      <c r="Q24" s="1">
        <f t="shared" ref="Q24:Q27" si="30">_xlfn.STDEV.S(M24:O24)</f>
        <v>2.9999999999999361E-2</v>
      </c>
      <c r="R24" s="3">
        <v>39.979999999999997</v>
      </c>
      <c r="S24" s="3">
        <v>40.04</v>
      </c>
      <c r="T24" s="3">
        <v>39.99</v>
      </c>
      <c r="U24" s="1">
        <f t="shared" si="17"/>
        <v>40.00333333333333</v>
      </c>
      <c r="V24" s="1">
        <f t="shared" si="18"/>
        <v>3.2145502536643417E-2</v>
      </c>
      <c r="Z24" s="1" t="e">
        <f t="shared" si="6"/>
        <v>#DIV/0!</v>
      </c>
      <c r="AA24" s="1" t="e">
        <f t="shared" si="2"/>
        <v>#DIV/0!</v>
      </c>
      <c r="AB24" s="3">
        <v>27.3</v>
      </c>
      <c r="AC24" s="3">
        <v>28.8</v>
      </c>
      <c r="AD24" s="3">
        <v>28.5</v>
      </c>
      <c r="AE24" s="87">
        <f t="shared" ref="AE24:AE27" si="31">AVERAGE(AB24:AD24)</f>
        <v>28.2</v>
      </c>
      <c r="AF24" s="1">
        <f t="shared" si="14"/>
        <v>0.79372539331937708</v>
      </c>
      <c r="AG24" s="92">
        <v>0.56999999999999995</v>
      </c>
      <c r="AH24" s="92">
        <v>0.54</v>
      </c>
      <c r="AI24" s="92">
        <v>0.52</v>
      </c>
      <c r="AJ24" s="82">
        <f t="shared" ref="AJ24:AJ27" si="32">AVERAGE(AG24:AI24)</f>
        <v>0.54333333333333333</v>
      </c>
      <c r="AK24" s="91">
        <f t="shared" ref="AK24:AK27" si="33">_xlfn.STDEV.S(AG24:AI24)</f>
        <v>2.5166114784235794E-2</v>
      </c>
      <c r="AL24" s="103">
        <v>45989</v>
      </c>
      <c r="AM24" s="3" t="s">
        <v>53</v>
      </c>
      <c r="AN24" s="96"/>
    </row>
    <row r="25" spans="6:40">
      <c r="F25" s="14" t="s">
        <v>1</v>
      </c>
      <c r="G25" s="2">
        <v>5</v>
      </c>
      <c r="H25" s="2" t="s">
        <v>8</v>
      </c>
      <c r="I25" s="2" t="s">
        <v>9</v>
      </c>
      <c r="J25" s="2">
        <v>2</v>
      </c>
      <c r="K25" s="1">
        <v>23</v>
      </c>
      <c r="L25" s="1" t="s">
        <v>57</v>
      </c>
      <c r="M25" s="3">
        <v>20.11</v>
      </c>
      <c r="N25" s="3">
        <v>20.07</v>
      </c>
      <c r="O25" s="3">
        <v>20.07</v>
      </c>
      <c r="P25" s="1">
        <f t="shared" si="29"/>
        <v>20.083333333333332</v>
      </c>
      <c r="Q25" s="1">
        <f t="shared" si="30"/>
        <v>2.3094010767584539E-2</v>
      </c>
      <c r="R25" s="3">
        <v>39.950000000000003</v>
      </c>
      <c r="S25" s="3">
        <v>39.92</v>
      </c>
      <c r="T25" s="3">
        <v>39.950000000000003</v>
      </c>
      <c r="U25" s="1">
        <f t="shared" si="17"/>
        <v>39.940000000000005</v>
      </c>
      <c r="V25" s="1">
        <f t="shared" si="18"/>
        <v>1.7320508075689432E-2</v>
      </c>
      <c r="Z25" s="1" t="e">
        <f t="shared" si="6"/>
        <v>#DIV/0!</v>
      </c>
      <c r="AA25" s="1" t="e">
        <f t="shared" si="2"/>
        <v>#DIV/0!</v>
      </c>
      <c r="AB25" s="3">
        <v>27.3</v>
      </c>
      <c r="AC25" s="3">
        <v>28.8</v>
      </c>
      <c r="AD25" s="3">
        <v>28.5</v>
      </c>
      <c r="AE25" s="87">
        <f t="shared" si="31"/>
        <v>28.2</v>
      </c>
      <c r="AF25" s="1">
        <f t="shared" si="14"/>
        <v>0.79372539331937708</v>
      </c>
      <c r="AG25" s="92">
        <v>0.56999999999999995</v>
      </c>
      <c r="AH25" s="92">
        <v>0.54</v>
      </c>
      <c r="AI25" s="92">
        <v>0.52</v>
      </c>
      <c r="AJ25" s="82">
        <f t="shared" si="32"/>
        <v>0.54333333333333333</v>
      </c>
      <c r="AK25" s="91">
        <f t="shared" si="33"/>
        <v>2.5166114784235794E-2</v>
      </c>
      <c r="AL25" s="103">
        <v>45989</v>
      </c>
      <c r="AM25" s="3" t="s">
        <v>53</v>
      </c>
      <c r="AN25" s="96"/>
    </row>
    <row r="26" spans="6:40">
      <c r="F26" s="14" t="s">
        <v>1</v>
      </c>
      <c r="G26" s="2">
        <v>5</v>
      </c>
      <c r="H26" s="2" t="s">
        <v>8</v>
      </c>
      <c r="I26" s="2" t="s">
        <v>9</v>
      </c>
      <c r="J26" s="2">
        <v>2</v>
      </c>
      <c r="K26" s="1">
        <v>24</v>
      </c>
      <c r="L26" s="1" t="s">
        <v>59</v>
      </c>
      <c r="M26" s="3">
        <v>20.03</v>
      </c>
      <c r="N26" s="3">
        <v>20.059999999999999</v>
      </c>
      <c r="O26" s="3">
        <v>19.97</v>
      </c>
      <c r="P26" s="1">
        <f t="shared" si="29"/>
        <v>20.02</v>
      </c>
      <c r="Q26" s="1">
        <f t="shared" si="30"/>
        <v>4.5825756949558587E-2</v>
      </c>
      <c r="R26" s="3">
        <v>40.020000000000003</v>
      </c>
      <c r="S26" s="3">
        <v>40.01</v>
      </c>
      <c r="T26" s="3">
        <v>39.99</v>
      </c>
      <c r="U26" s="1">
        <f t="shared" si="17"/>
        <v>40.006666666666668</v>
      </c>
      <c r="V26" s="1">
        <f t="shared" si="18"/>
        <v>1.5275252316519529E-2</v>
      </c>
      <c r="Z26" s="1" t="e">
        <f t="shared" si="6"/>
        <v>#DIV/0!</v>
      </c>
      <c r="AA26" s="1" t="e">
        <f t="shared" si="2"/>
        <v>#DIV/0!</v>
      </c>
      <c r="AB26" s="3">
        <v>27.3</v>
      </c>
      <c r="AC26" s="3">
        <v>28.8</v>
      </c>
      <c r="AD26" s="3">
        <v>28.5</v>
      </c>
      <c r="AE26" s="87">
        <f t="shared" si="31"/>
        <v>28.2</v>
      </c>
      <c r="AF26" s="1">
        <f t="shared" si="14"/>
        <v>0.79372539331937708</v>
      </c>
      <c r="AG26" s="92">
        <v>0.56999999999999995</v>
      </c>
      <c r="AH26" s="92">
        <v>0.54</v>
      </c>
      <c r="AI26" s="92">
        <v>0.52</v>
      </c>
      <c r="AJ26" s="82">
        <f t="shared" si="32"/>
        <v>0.54333333333333333</v>
      </c>
      <c r="AK26" s="91">
        <f t="shared" si="33"/>
        <v>2.5166114784235794E-2</v>
      </c>
      <c r="AL26" s="103">
        <v>45989</v>
      </c>
      <c r="AM26" s="3" t="s">
        <v>53</v>
      </c>
      <c r="AN26" s="96"/>
    </row>
    <row r="27" spans="6:40" ht="15.75" thickBot="1">
      <c r="F27" s="14" t="s">
        <v>1</v>
      </c>
      <c r="G27" s="2">
        <v>5</v>
      </c>
      <c r="H27" s="2" t="s">
        <v>8</v>
      </c>
      <c r="I27" s="2" t="s">
        <v>9</v>
      </c>
      <c r="J27" s="2">
        <v>2</v>
      </c>
      <c r="K27" s="1">
        <v>25</v>
      </c>
      <c r="L27" s="1" t="s">
        <v>60</v>
      </c>
      <c r="M27" s="3">
        <v>19.95</v>
      </c>
      <c r="N27" s="3">
        <v>20.04</v>
      </c>
      <c r="O27" s="3">
        <v>20.010000000000002</v>
      </c>
      <c r="P27" s="1">
        <f t="shared" si="29"/>
        <v>20</v>
      </c>
      <c r="Q27" s="1">
        <f t="shared" si="30"/>
        <v>4.5825756949558587E-2</v>
      </c>
      <c r="R27" s="21">
        <v>40.04</v>
      </c>
      <c r="S27" s="21">
        <v>40.01</v>
      </c>
      <c r="T27" s="21">
        <v>40.01</v>
      </c>
      <c r="U27" s="1">
        <f t="shared" si="17"/>
        <v>40.020000000000003</v>
      </c>
      <c r="V27" s="1">
        <f t="shared" si="18"/>
        <v>1.7320508075689429E-2</v>
      </c>
      <c r="W27" s="21"/>
      <c r="X27" s="21"/>
      <c r="Y27" s="21"/>
      <c r="Z27" s="1" t="e">
        <f t="shared" si="6"/>
        <v>#DIV/0!</v>
      </c>
      <c r="AA27" s="1" t="e">
        <f t="shared" si="2"/>
        <v>#DIV/0!</v>
      </c>
      <c r="AB27" s="3">
        <v>27.3</v>
      </c>
      <c r="AC27" s="3">
        <v>28.8</v>
      </c>
      <c r="AD27" s="3">
        <v>28.5</v>
      </c>
      <c r="AE27" s="87">
        <f t="shared" si="31"/>
        <v>28.2</v>
      </c>
      <c r="AF27" s="1">
        <f t="shared" si="14"/>
        <v>0.79372539331937708</v>
      </c>
      <c r="AG27" s="92">
        <v>0.56999999999999995</v>
      </c>
      <c r="AH27" s="92">
        <v>0.54</v>
      </c>
      <c r="AI27" s="92">
        <v>0.52</v>
      </c>
      <c r="AJ27" s="82">
        <f t="shared" si="32"/>
        <v>0.54333333333333333</v>
      </c>
      <c r="AK27" s="91">
        <f t="shared" si="33"/>
        <v>2.5166114784235794E-2</v>
      </c>
      <c r="AL27" s="103">
        <v>45989</v>
      </c>
      <c r="AM27" s="3" t="s">
        <v>53</v>
      </c>
      <c r="AN27" s="96"/>
    </row>
    <row r="28" spans="6:40">
      <c r="F28" s="30" t="s">
        <v>1</v>
      </c>
      <c r="G28" s="32">
        <v>6</v>
      </c>
      <c r="H28" s="32" t="s">
        <v>8</v>
      </c>
      <c r="I28" s="32" t="s">
        <v>11</v>
      </c>
      <c r="J28" s="39">
        <v>1</v>
      </c>
      <c r="K28" s="31">
        <v>26</v>
      </c>
      <c r="L28" s="31" t="s">
        <v>52</v>
      </c>
      <c r="M28" s="39">
        <v>9.91</v>
      </c>
      <c r="N28" s="39">
        <v>9.9</v>
      </c>
      <c r="O28" s="39">
        <v>9.91</v>
      </c>
      <c r="P28" s="31">
        <f>AVERAGE(M28:O28)</f>
        <v>9.9066666666666681</v>
      </c>
      <c r="Q28" s="31">
        <f>_xlfn.STDEV.S(M28:O28)</f>
        <v>5.7735026918961348E-3</v>
      </c>
      <c r="R28" s="3">
        <v>19.93</v>
      </c>
      <c r="S28" s="3">
        <v>19.989999999999998</v>
      </c>
      <c r="T28" s="3">
        <v>20</v>
      </c>
      <c r="U28" s="31">
        <f t="shared" ref="U28:U42" si="34">AVERAGE(R28:T28)</f>
        <v>19.973333333333333</v>
      </c>
      <c r="V28" s="31">
        <f t="shared" ref="V28:V42" si="35">_xlfn.STDEV.S(R28:T28)</f>
        <v>3.7859388972001647E-2</v>
      </c>
      <c r="Z28" s="31" t="e">
        <f t="shared" si="6"/>
        <v>#DIV/0!</v>
      </c>
      <c r="AA28" s="31" t="e">
        <f t="shared" si="2"/>
        <v>#DIV/0!</v>
      </c>
      <c r="AB28" s="39">
        <v>27.4</v>
      </c>
      <c r="AC28" s="39">
        <v>28.5</v>
      </c>
      <c r="AD28" s="39">
        <v>28.6</v>
      </c>
      <c r="AE28" s="85">
        <f>AVERAGE(AB28:AD28)</f>
        <v>28.166666666666668</v>
      </c>
      <c r="AF28" s="31">
        <f t="shared" ref="AF28:AF59" si="36">_xlfn.STDEV.S(AB28:AD28)</f>
        <v>0.66583281184794052</v>
      </c>
      <c r="AG28" s="94">
        <v>0.56999999999999995</v>
      </c>
      <c r="AH28" s="94">
        <v>0.5</v>
      </c>
      <c r="AI28" s="94">
        <v>0.47</v>
      </c>
      <c r="AJ28" s="33">
        <f>AVERAGE(AG28:AI28)</f>
        <v>0.51333333333333331</v>
      </c>
      <c r="AK28" s="90">
        <f>_xlfn.STDEV.S(AG28:AI28)</f>
        <v>5.1316014394468826E-2</v>
      </c>
      <c r="AL28" s="102">
        <v>45989</v>
      </c>
      <c r="AM28" s="39" t="s">
        <v>53</v>
      </c>
      <c r="AN28" s="95"/>
    </row>
    <row r="29" spans="6:40">
      <c r="F29" s="14" t="s">
        <v>1</v>
      </c>
      <c r="G29" s="2">
        <v>6</v>
      </c>
      <c r="H29" s="2" t="s">
        <v>8</v>
      </c>
      <c r="I29" s="2" t="s">
        <v>11</v>
      </c>
      <c r="J29" s="3">
        <v>1</v>
      </c>
      <c r="K29" s="1">
        <v>27</v>
      </c>
      <c r="L29" s="1" t="s">
        <v>55</v>
      </c>
      <c r="M29" s="3">
        <v>9.8699999999999992</v>
      </c>
      <c r="N29" s="3">
        <v>9.8800000000000008</v>
      </c>
      <c r="O29" s="3">
        <v>9.8800000000000008</v>
      </c>
      <c r="P29" s="1">
        <f t="shared" ref="P29:P32" si="37">AVERAGE(M29:O29)</f>
        <v>9.8766666666666669</v>
      </c>
      <c r="Q29" s="1">
        <f t="shared" ref="Q29:Q32" si="38">_xlfn.STDEV.S(M29:O29)</f>
        <v>5.77350269189716E-3</v>
      </c>
      <c r="R29" s="3">
        <v>19.93</v>
      </c>
      <c r="S29" s="3">
        <v>19.93</v>
      </c>
      <c r="T29" s="3">
        <v>19.97</v>
      </c>
      <c r="U29" s="1">
        <f t="shared" si="34"/>
        <v>19.943333333333332</v>
      </c>
      <c r="V29" s="1">
        <f t="shared" si="35"/>
        <v>2.3094010767584539E-2</v>
      </c>
      <c r="Z29" s="1" t="e">
        <f t="shared" si="6"/>
        <v>#DIV/0!</v>
      </c>
      <c r="AA29" s="1" t="e">
        <f t="shared" si="2"/>
        <v>#DIV/0!</v>
      </c>
      <c r="AB29" s="3">
        <v>27.4</v>
      </c>
      <c r="AC29" s="3">
        <v>28.5</v>
      </c>
      <c r="AD29" s="3">
        <v>28.6</v>
      </c>
      <c r="AE29" s="87">
        <f t="shared" ref="AE29:AE32" si="39">AVERAGE(AB29:AD29)</f>
        <v>28.166666666666668</v>
      </c>
      <c r="AF29" s="1">
        <f t="shared" si="36"/>
        <v>0.66583281184794052</v>
      </c>
      <c r="AG29" s="92">
        <v>0.56999999999999995</v>
      </c>
      <c r="AH29" s="92">
        <v>0.5</v>
      </c>
      <c r="AI29" s="92">
        <v>0.47</v>
      </c>
      <c r="AJ29" s="82">
        <f t="shared" ref="AJ29:AJ32" si="40">AVERAGE(AG29:AI29)</f>
        <v>0.51333333333333331</v>
      </c>
      <c r="AK29" s="91">
        <f t="shared" ref="AK29:AK32" si="41">_xlfn.STDEV.S(AG29:AI29)</f>
        <v>5.1316014394468826E-2</v>
      </c>
      <c r="AL29" s="103">
        <v>45989</v>
      </c>
      <c r="AM29" s="3" t="s">
        <v>53</v>
      </c>
      <c r="AN29" s="96"/>
    </row>
    <row r="30" spans="6:40">
      <c r="F30" s="14" t="s">
        <v>1</v>
      </c>
      <c r="G30" s="2">
        <v>6</v>
      </c>
      <c r="H30" s="2" t="s">
        <v>8</v>
      </c>
      <c r="I30" s="2" t="s">
        <v>11</v>
      </c>
      <c r="J30" s="3">
        <v>1</v>
      </c>
      <c r="K30" s="1">
        <v>28</v>
      </c>
      <c r="L30" s="1" t="s">
        <v>57</v>
      </c>
      <c r="M30" s="3">
        <v>9.8800000000000008</v>
      </c>
      <c r="N30" s="3">
        <v>9.89</v>
      </c>
      <c r="O30" s="3">
        <v>9.89</v>
      </c>
      <c r="P30" s="1">
        <f t="shared" si="37"/>
        <v>9.8866666666666685</v>
      </c>
      <c r="Q30" s="1">
        <f t="shared" si="38"/>
        <v>5.7735026918961348E-3</v>
      </c>
      <c r="R30" s="3">
        <v>19.98</v>
      </c>
      <c r="S30" s="3">
        <v>20</v>
      </c>
      <c r="T30" s="3">
        <v>19.97</v>
      </c>
      <c r="U30" s="1">
        <f t="shared" si="34"/>
        <v>19.983333333333334</v>
      </c>
      <c r="V30" s="1">
        <f t="shared" si="35"/>
        <v>1.5275252316519916E-2</v>
      </c>
      <c r="Z30" s="1" t="e">
        <f t="shared" si="6"/>
        <v>#DIV/0!</v>
      </c>
      <c r="AA30" s="1" t="e">
        <f t="shared" si="2"/>
        <v>#DIV/0!</v>
      </c>
      <c r="AB30" s="3">
        <v>27.4</v>
      </c>
      <c r="AC30" s="3">
        <v>28.5</v>
      </c>
      <c r="AD30" s="3">
        <v>28.6</v>
      </c>
      <c r="AE30" s="87">
        <f t="shared" si="39"/>
        <v>28.166666666666668</v>
      </c>
      <c r="AF30" s="1">
        <f t="shared" si="36"/>
        <v>0.66583281184794052</v>
      </c>
      <c r="AG30" s="92">
        <v>0.56999999999999995</v>
      </c>
      <c r="AH30" s="92">
        <v>0.5</v>
      </c>
      <c r="AI30" s="92">
        <v>0.47</v>
      </c>
      <c r="AJ30" s="82">
        <f t="shared" si="40"/>
        <v>0.51333333333333331</v>
      </c>
      <c r="AK30" s="91">
        <f t="shared" si="41"/>
        <v>5.1316014394468826E-2</v>
      </c>
      <c r="AL30" s="103">
        <v>45989</v>
      </c>
      <c r="AM30" s="3" t="s">
        <v>53</v>
      </c>
      <c r="AN30" s="96"/>
    </row>
    <row r="31" spans="6:40">
      <c r="F31" s="14" t="s">
        <v>1</v>
      </c>
      <c r="G31" s="2">
        <v>6</v>
      </c>
      <c r="H31" s="2" t="s">
        <v>8</v>
      </c>
      <c r="I31" s="2" t="s">
        <v>11</v>
      </c>
      <c r="J31" s="3">
        <v>1</v>
      </c>
      <c r="K31" s="1">
        <v>29</v>
      </c>
      <c r="L31" s="1" t="s">
        <v>59</v>
      </c>
      <c r="M31" s="3">
        <v>9.89</v>
      </c>
      <c r="N31" s="3">
        <v>9.8699999999999992</v>
      </c>
      <c r="O31" s="3">
        <v>9.8800000000000008</v>
      </c>
      <c r="P31" s="1">
        <f t="shared" si="37"/>
        <v>9.8800000000000008</v>
      </c>
      <c r="Q31" s="1">
        <f t="shared" si="38"/>
        <v>1.0000000000000675E-2</v>
      </c>
      <c r="R31" s="3">
        <v>19.920000000000002</v>
      </c>
      <c r="S31" s="3">
        <v>19.920000000000002</v>
      </c>
      <c r="T31" s="3">
        <v>19.940000000000001</v>
      </c>
      <c r="U31" s="1">
        <f t="shared" si="34"/>
        <v>19.926666666666666</v>
      </c>
      <c r="V31" s="1">
        <f t="shared" si="35"/>
        <v>1.154700538379227E-2</v>
      </c>
      <c r="Z31" s="1" t="e">
        <f t="shared" si="6"/>
        <v>#DIV/0!</v>
      </c>
      <c r="AA31" s="1" t="e">
        <f t="shared" si="2"/>
        <v>#DIV/0!</v>
      </c>
      <c r="AB31" s="3">
        <v>27.4</v>
      </c>
      <c r="AC31" s="3">
        <v>28.5</v>
      </c>
      <c r="AD31" s="3">
        <v>28.6</v>
      </c>
      <c r="AE31" s="87">
        <f t="shared" si="39"/>
        <v>28.166666666666668</v>
      </c>
      <c r="AF31" s="1">
        <f t="shared" si="36"/>
        <v>0.66583281184794052</v>
      </c>
      <c r="AG31" s="92">
        <v>0.56999999999999995</v>
      </c>
      <c r="AH31" s="92">
        <v>0.5</v>
      </c>
      <c r="AI31" s="92">
        <v>0.47</v>
      </c>
      <c r="AJ31" s="82">
        <f t="shared" si="40"/>
        <v>0.51333333333333331</v>
      </c>
      <c r="AK31" s="91">
        <f t="shared" si="41"/>
        <v>5.1316014394468826E-2</v>
      </c>
      <c r="AL31" s="103">
        <v>45989</v>
      </c>
      <c r="AM31" s="3" t="s">
        <v>53</v>
      </c>
      <c r="AN31" s="96"/>
    </row>
    <row r="32" spans="6:40" ht="15.75" thickBot="1">
      <c r="F32" s="14" t="s">
        <v>1</v>
      </c>
      <c r="G32" s="2">
        <v>6</v>
      </c>
      <c r="H32" s="2" t="s">
        <v>8</v>
      </c>
      <c r="I32" s="2" t="s">
        <v>11</v>
      </c>
      <c r="J32" s="3">
        <v>1</v>
      </c>
      <c r="K32" s="1">
        <v>30</v>
      </c>
      <c r="L32" s="1" t="s">
        <v>60</v>
      </c>
      <c r="M32" s="3">
        <v>9.86</v>
      </c>
      <c r="N32" s="3">
        <v>9.8800000000000008</v>
      </c>
      <c r="O32" s="3">
        <v>9.8800000000000008</v>
      </c>
      <c r="P32" s="1">
        <f t="shared" si="37"/>
        <v>9.8733333333333348</v>
      </c>
      <c r="Q32" s="1">
        <f t="shared" si="38"/>
        <v>1.1547005383793295E-2</v>
      </c>
      <c r="R32" s="21">
        <v>19.96</v>
      </c>
      <c r="S32" s="21">
        <v>19.96</v>
      </c>
      <c r="T32" s="21">
        <v>19.95</v>
      </c>
      <c r="U32" s="1">
        <f t="shared" si="34"/>
        <v>19.956666666666667</v>
      </c>
      <c r="V32" s="1">
        <f t="shared" si="35"/>
        <v>5.77350269189716E-3</v>
      </c>
      <c r="W32" s="21"/>
      <c r="X32" s="21"/>
      <c r="Y32" s="21"/>
      <c r="Z32" s="1" t="e">
        <f t="shared" si="6"/>
        <v>#DIV/0!</v>
      </c>
      <c r="AA32" s="1" t="e">
        <f t="shared" si="2"/>
        <v>#DIV/0!</v>
      </c>
      <c r="AB32" s="3">
        <v>27.4</v>
      </c>
      <c r="AC32" s="3">
        <v>28.5</v>
      </c>
      <c r="AD32" s="3">
        <v>28.6</v>
      </c>
      <c r="AE32" s="87">
        <f t="shared" si="39"/>
        <v>28.166666666666668</v>
      </c>
      <c r="AF32" s="1">
        <f t="shared" si="36"/>
        <v>0.66583281184794052</v>
      </c>
      <c r="AG32" s="92">
        <v>0.56999999999999995</v>
      </c>
      <c r="AH32" s="92">
        <v>0.5</v>
      </c>
      <c r="AI32" s="92">
        <v>0.47</v>
      </c>
      <c r="AJ32" s="82">
        <f t="shared" si="40"/>
        <v>0.51333333333333331</v>
      </c>
      <c r="AK32" s="91">
        <f t="shared" si="41"/>
        <v>5.1316014394468826E-2</v>
      </c>
      <c r="AL32" s="103">
        <v>45989</v>
      </c>
      <c r="AM32" s="3" t="s">
        <v>53</v>
      </c>
      <c r="AN32" s="96"/>
    </row>
    <row r="33" spans="6:40">
      <c r="F33" s="30" t="s">
        <v>1</v>
      </c>
      <c r="G33" s="39">
        <v>7</v>
      </c>
      <c r="H33" s="39" t="s">
        <v>12</v>
      </c>
      <c r="I33" s="39" t="s">
        <v>11</v>
      </c>
      <c r="J33" s="39">
        <v>1</v>
      </c>
      <c r="K33" s="31">
        <v>31</v>
      </c>
      <c r="L33" s="31" t="s">
        <v>52</v>
      </c>
      <c r="M33" s="39">
        <v>9.91</v>
      </c>
      <c r="N33" s="39">
        <v>9.92</v>
      </c>
      <c r="O33" s="39">
        <v>9.9499999999999993</v>
      </c>
      <c r="P33" s="31">
        <f>AVERAGE(M33:O33)</f>
        <v>9.9266666666666659</v>
      </c>
      <c r="Q33" s="31">
        <f>_xlfn.STDEV.S(M33:O33)</f>
        <v>2.0816659994660883E-2</v>
      </c>
      <c r="R33" s="3">
        <v>20.02</v>
      </c>
      <c r="S33" s="3">
        <v>19.96</v>
      </c>
      <c r="T33" s="3">
        <v>20</v>
      </c>
      <c r="U33" s="31">
        <f t="shared" si="34"/>
        <v>19.993333333333336</v>
      </c>
      <c r="V33" s="31">
        <f t="shared" si="35"/>
        <v>3.0550504633038281E-2</v>
      </c>
      <c r="Z33" s="31" t="e">
        <f t="shared" si="6"/>
        <v>#DIV/0!</v>
      </c>
      <c r="AA33" s="31" t="e">
        <f t="shared" si="2"/>
        <v>#DIV/0!</v>
      </c>
      <c r="AB33" s="39">
        <v>26.9</v>
      </c>
      <c r="AC33" s="39">
        <v>27.1</v>
      </c>
      <c r="AD33" s="39">
        <v>28.1</v>
      </c>
      <c r="AE33" s="85">
        <f>AVERAGE(AB33:AD33)</f>
        <v>27.366666666666664</v>
      </c>
      <c r="AF33" s="31">
        <f t="shared" si="36"/>
        <v>0.64291005073286467</v>
      </c>
      <c r="AG33" s="94">
        <v>0.52</v>
      </c>
      <c r="AH33" s="94">
        <v>0.53</v>
      </c>
      <c r="AI33" s="94">
        <v>0.5</v>
      </c>
      <c r="AJ33" s="33">
        <f>AVERAGE(AG33:AI33)</f>
        <v>0.51666666666666672</v>
      </c>
      <c r="AK33" s="90">
        <f>_xlfn.STDEV.S(AG33:AI33)</f>
        <v>1.527525231651948E-2</v>
      </c>
      <c r="AL33" s="102">
        <v>45989</v>
      </c>
      <c r="AM33" s="39" t="s">
        <v>53</v>
      </c>
      <c r="AN33" s="95"/>
    </row>
    <row r="34" spans="6:40">
      <c r="F34" s="14" t="s">
        <v>1</v>
      </c>
      <c r="G34" s="3">
        <v>7</v>
      </c>
      <c r="H34" s="3" t="s">
        <v>12</v>
      </c>
      <c r="I34" s="3" t="s">
        <v>11</v>
      </c>
      <c r="J34" s="3">
        <v>1</v>
      </c>
      <c r="K34" s="1">
        <v>32</v>
      </c>
      <c r="L34" s="1" t="s">
        <v>55</v>
      </c>
      <c r="M34" s="3">
        <v>9.9600000000000009</v>
      </c>
      <c r="N34" s="3">
        <v>9.94</v>
      </c>
      <c r="O34" s="3">
        <v>9.92</v>
      </c>
      <c r="P34" s="1">
        <f t="shared" ref="P34:P37" si="42">AVERAGE(M34:O34)</f>
        <v>9.94</v>
      </c>
      <c r="Q34" s="1">
        <f t="shared" ref="Q34:Q37" si="43">_xlfn.STDEV.S(M34:O34)</f>
        <v>2.0000000000000462E-2</v>
      </c>
      <c r="R34" s="3">
        <v>20.05</v>
      </c>
      <c r="S34" s="3">
        <v>19.95</v>
      </c>
      <c r="T34" s="3">
        <v>19.989999999999998</v>
      </c>
      <c r="U34" s="1">
        <f t="shared" si="34"/>
        <v>19.996666666666666</v>
      </c>
      <c r="V34" s="1">
        <f t="shared" si="35"/>
        <v>5.033222956847247E-2</v>
      </c>
      <c r="Z34" s="1" t="e">
        <f t="shared" si="6"/>
        <v>#DIV/0!</v>
      </c>
      <c r="AA34" s="1" t="e">
        <f t="shared" si="2"/>
        <v>#DIV/0!</v>
      </c>
      <c r="AB34" s="3">
        <v>26.9</v>
      </c>
      <c r="AC34" s="3">
        <v>27.1</v>
      </c>
      <c r="AD34" s="3">
        <v>28.1</v>
      </c>
      <c r="AE34" s="87">
        <f t="shared" ref="AE34:AE37" si="44">AVERAGE(AB34:AD34)</f>
        <v>27.366666666666664</v>
      </c>
      <c r="AF34" s="1">
        <f t="shared" si="36"/>
        <v>0.64291005073286467</v>
      </c>
      <c r="AG34" s="92">
        <v>0.52</v>
      </c>
      <c r="AH34" s="92">
        <v>0.53</v>
      </c>
      <c r="AI34" s="92">
        <v>0.5</v>
      </c>
      <c r="AJ34" s="82">
        <f t="shared" ref="AJ34:AJ37" si="45">AVERAGE(AG34:AI34)</f>
        <v>0.51666666666666672</v>
      </c>
      <c r="AK34" s="91">
        <f t="shared" ref="AK34:AK37" si="46">_xlfn.STDEV.S(AG34:AI34)</f>
        <v>1.527525231651948E-2</v>
      </c>
      <c r="AL34" s="103">
        <v>45989</v>
      </c>
      <c r="AM34" s="3" t="s">
        <v>53</v>
      </c>
      <c r="AN34" s="96"/>
    </row>
    <row r="35" spans="6:40">
      <c r="F35" s="14" t="s">
        <v>1</v>
      </c>
      <c r="G35" s="3">
        <v>7</v>
      </c>
      <c r="H35" s="3" t="s">
        <v>12</v>
      </c>
      <c r="I35" s="3" t="s">
        <v>11</v>
      </c>
      <c r="J35" s="3">
        <v>1</v>
      </c>
      <c r="K35" s="1">
        <v>33</v>
      </c>
      <c r="L35" s="1" t="s">
        <v>57</v>
      </c>
      <c r="M35" s="3">
        <v>9.91</v>
      </c>
      <c r="N35" s="3">
        <v>9.93</v>
      </c>
      <c r="O35" s="3">
        <v>9.91</v>
      </c>
      <c r="P35" s="1">
        <f t="shared" si="42"/>
        <v>9.9166666666666661</v>
      </c>
      <c r="Q35" s="1">
        <f t="shared" si="43"/>
        <v>1.154700538379227E-2</v>
      </c>
      <c r="R35" s="3">
        <v>19.98</v>
      </c>
      <c r="S35" s="3">
        <v>19.940000000000001</v>
      </c>
      <c r="T35" s="3">
        <v>19.940000000000001</v>
      </c>
      <c r="U35" s="1">
        <f t="shared" si="34"/>
        <v>19.953333333333333</v>
      </c>
      <c r="V35" s="1">
        <f t="shared" si="35"/>
        <v>2.3094010767584539E-2</v>
      </c>
      <c r="Z35" s="1" t="e">
        <f t="shared" si="6"/>
        <v>#DIV/0!</v>
      </c>
      <c r="AA35" s="1" t="e">
        <f t="shared" si="2"/>
        <v>#DIV/0!</v>
      </c>
      <c r="AB35" s="3">
        <v>26.9</v>
      </c>
      <c r="AC35" s="3">
        <v>27.1</v>
      </c>
      <c r="AD35" s="3">
        <v>28.1</v>
      </c>
      <c r="AE35" s="87">
        <f t="shared" si="44"/>
        <v>27.366666666666664</v>
      </c>
      <c r="AF35" s="1">
        <f t="shared" si="36"/>
        <v>0.64291005073286467</v>
      </c>
      <c r="AG35" s="92">
        <v>0.52</v>
      </c>
      <c r="AH35" s="92">
        <v>0.53</v>
      </c>
      <c r="AI35" s="92">
        <v>0.5</v>
      </c>
      <c r="AJ35" s="82">
        <f t="shared" si="45"/>
        <v>0.51666666666666672</v>
      </c>
      <c r="AK35" s="91">
        <f t="shared" si="46"/>
        <v>1.527525231651948E-2</v>
      </c>
      <c r="AL35" s="103">
        <v>45989</v>
      </c>
      <c r="AM35" s="3" t="s">
        <v>53</v>
      </c>
      <c r="AN35" s="96"/>
    </row>
    <row r="36" spans="6:40">
      <c r="F36" s="14" t="s">
        <v>1</v>
      </c>
      <c r="G36" s="3">
        <v>7</v>
      </c>
      <c r="H36" s="3" t="s">
        <v>12</v>
      </c>
      <c r="I36" s="3" t="s">
        <v>11</v>
      </c>
      <c r="J36" s="3">
        <v>1</v>
      </c>
      <c r="K36" s="1">
        <v>34</v>
      </c>
      <c r="L36" s="1" t="s">
        <v>59</v>
      </c>
      <c r="M36" s="3">
        <v>9.91</v>
      </c>
      <c r="N36" s="3">
        <v>9.8800000000000008</v>
      </c>
      <c r="O36" s="3">
        <v>9.94</v>
      </c>
      <c r="P36" s="1">
        <f t="shared" si="42"/>
        <v>9.9099999999999984</v>
      </c>
      <c r="Q36" s="1">
        <f t="shared" si="43"/>
        <v>2.9999999999999361E-2</v>
      </c>
      <c r="R36" s="3">
        <v>19.920000000000002</v>
      </c>
      <c r="S36" s="3">
        <v>19.93</v>
      </c>
      <c r="T36" s="3">
        <v>19.93</v>
      </c>
      <c r="U36" s="1">
        <f t="shared" si="34"/>
        <v>19.926666666666666</v>
      </c>
      <c r="V36" s="1">
        <f t="shared" si="35"/>
        <v>5.7735026918951087E-3</v>
      </c>
      <c r="Z36" s="1" t="e">
        <f t="shared" si="6"/>
        <v>#DIV/0!</v>
      </c>
      <c r="AA36" s="1" t="e">
        <f t="shared" si="2"/>
        <v>#DIV/0!</v>
      </c>
      <c r="AB36" s="3">
        <v>26.9</v>
      </c>
      <c r="AC36" s="3">
        <v>27.1</v>
      </c>
      <c r="AD36" s="3">
        <v>28.1</v>
      </c>
      <c r="AE36" s="87">
        <f t="shared" si="44"/>
        <v>27.366666666666664</v>
      </c>
      <c r="AF36" s="1">
        <f t="shared" si="36"/>
        <v>0.64291005073286467</v>
      </c>
      <c r="AG36" s="92">
        <v>0.52</v>
      </c>
      <c r="AH36" s="92">
        <v>0.53</v>
      </c>
      <c r="AI36" s="92">
        <v>0.5</v>
      </c>
      <c r="AJ36" s="82">
        <f t="shared" si="45"/>
        <v>0.51666666666666672</v>
      </c>
      <c r="AK36" s="91">
        <f t="shared" si="46"/>
        <v>1.527525231651948E-2</v>
      </c>
      <c r="AL36" s="103">
        <v>45989</v>
      </c>
      <c r="AM36" s="3" t="s">
        <v>53</v>
      </c>
      <c r="AN36" s="96"/>
    </row>
    <row r="37" spans="6:40" ht="15.75" thickBot="1">
      <c r="F37" s="14" t="s">
        <v>1</v>
      </c>
      <c r="G37" s="3">
        <v>7</v>
      </c>
      <c r="H37" s="3" t="s">
        <v>12</v>
      </c>
      <c r="I37" s="3" t="s">
        <v>11</v>
      </c>
      <c r="J37" s="3">
        <v>1</v>
      </c>
      <c r="K37" s="1">
        <v>35</v>
      </c>
      <c r="L37" s="1" t="s">
        <v>60</v>
      </c>
      <c r="M37" s="3">
        <v>9.93</v>
      </c>
      <c r="N37" s="3">
        <v>9.94</v>
      </c>
      <c r="O37" s="3">
        <v>9.9600000000000009</v>
      </c>
      <c r="P37" s="1">
        <f t="shared" si="42"/>
        <v>9.9433333333333334</v>
      </c>
      <c r="Q37" s="1">
        <f t="shared" si="43"/>
        <v>1.527525231652011E-2</v>
      </c>
      <c r="R37" s="21">
        <v>19.940000000000001</v>
      </c>
      <c r="S37" s="21">
        <v>19.95</v>
      </c>
      <c r="T37" s="21">
        <v>19.96</v>
      </c>
      <c r="U37" s="1">
        <f t="shared" si="34"/>
        <v>19.95</v>
      </c>
      <c r="V37" s="1">
        <f t="shared" si="35"/>
        <v>9.9999999999997868E-3</v>
      </c>
      <c r="W37" s="21"/>
      <c r="X37" s="21"/>
      <c r="Y37" s="21"/>
      <c r="Z37" s="1" t="e">
        <f t="shared" si="6"/>
        <v>#DIV/0!</v>
      </c>
      <c r="AA37" s="1" t="e">
        <f t="shared" si="2"/>
        <v>#DIV/0!</v>
      </c>
      <c r="AB37" s="3">
        <v>26.9</v>
      </c>
      <c r="AC37" s="3">
        <v>27.1</v>
      </c>
      <c r="AD37" s="3">
        <v>28.1</v>
      </c>
      <c r="AE37" s="87">
        <f t="shared" si="44"/>
        <v>27.366666666666664</v>
      </c>
      <c r="AF37" s="1">
        <f t="shared" si="36"/>
        <v>0.64291005073286467</v>
      </c>
      <c r="AG37" s="92">
        <v>0.52</v>
      </c>
      <c r="AH37" s="92">
        <v>0.53</v>
      </c>
      <c r="AI37" s="92">
        <v>0.5</v>
      </c>
      <c r="AJ37" s="82">
        <f t="shared" si="45"/>
        <v>0.51666666666666672</v>
      </c>
      <c r="AK37" s="91">
        <f t="shared" si="46"/>
        <v>1.527525231651948E-2</v>
      </c>
      <c r="AL37" s="103">
        <v>45989</v>
      </c>
      <c r="AM37" s="3" t="s">
        <v>53</v>
      </c>
      <c r="AN37" s="96"/>
    </row>
    <row r="38" spans="6:40">
      <c r="F38" s="30" t="s">
        <v>1</v>
      </c>
      <c r="G38" s="32">
        <v>8</v>
      </c>
      <c r="H38" s="32" t="s">
        <v>10</v>
      </c>
      <c r="I38" s="32" t="s">
        <v>11</v>
      </c>
      <c r="J38" s="32">
        <v>2</v>
      </c>
      <c r="K38" s="31">
        <v>36</v>
      </c>
      <c r="L38" s="31" t="s">
        <v>52</v>
      </c>
      <c r="M38" s="39">
        <v>9.91</v>
      </c>
      <c r="N38" s="39">
        <v>9.92</v>
      </c>
      <c r="O38" s="39">
        <v>9.92</v>
      </c>
      <c r="P38" s="31">
        <f>AVERAGE(M38:O38)</f>
        <v>9.9166666666666661</v>
      </c>
      <c r="Q38" s="31">
        <f>_xlfn.STDEV.S(M38:O38)</f>
        <v>5.7735026918961348E-3</v>
      </c>
      <c r="R38" s="3">
        <v>19.95</v>
      </c>
      <c r="S38" s="3">
        <v>19.96</v>
      </c>
      <c r="T38" s="3">
        <v>20</v>
      </c>
      <c r="U38" s="31">
        <f t="shared" si="34"/>
        <v>19.97</v>
      </c>
      <c r="V38" s="31">
        <f t="shared" si="35"/>
        <v>2.6457513110646015E-2</v>
      </c>
      <c r="Z38" s="31" t="e">
        <f t="shared" si="6"/>
        <v>#DIV/0!</v>
      </c>
      <c r="AA38" s="31" t="e">
        <f t="shared" si="2"/>
        <v>#DIV/0!</v>
      </c>
      <c r="AB38" s="39">
        <v>25.2</v>
      </c>
      <c r="AC38" s="39">
        <v>26.5</v>
      </c>
      <c r="AD38" s="39">
        <v>28.1</v>
      </c>
      <c r="AE38" s="85">
        <f>AVERAGE(AB38:AD38)</f>
        <v>26.600000000000005</v>
      </c>
      <c r="AF38" s="31">
        <f t="shared" si="36"/>
        <v>1.4525839046333959</v>
      </c>
      <c r="AG38" s="94">
        <v>0.57999999999999996</v>
      </c>
      <c r="AH38" s="94">
        <v>0.56000000000000005</v>
      </c>
      <c r="AI38" s="94">
        <v>0.51</v>
      </c>
      <c r="AJ38" s="33">
        <f>AVERAGE(AG38:AI38)</f>
        <v>0.55000000000000004</v>
      </c>
      <c r="AK38" s="90">
        <f>_xlfn.STDEV.S(AG38:AI38)</f>
        <v>3.6055512754639883E-2</v>
      </c>
      <c r="AL38" s="102">
        <v>45989</v>
      </c>
      <c r="AM38" s="39" t="s">
        <v>53</v>
      </c>
      <c r="AN38" s="95"/>
    </row>
    <row r="39" spans="6:40">
      <c r="F39" s="14" t="s">
        <v>1</v>
      </c>
      <c r="G39" s="2">
        <v>8</v>
      </c>
      <c r="H39" s="2" t="s">
        <v>10</v>
      </c>
      <c r="I39" s="2" t="s">
        <v>11</v>
      </c>
      <c r="J39" s="2">
        <v>2</v>
      </c>
      <c r="K39" s="1">
        <v>37</v>
      </c>
      <c r="L39" s="1" t="s">
        <v>55</v>
      </c>
      <c r="M39" s="3">
        <v>9.9600000000000009</v>
      </c>
      <c r="N39" s="3">
        <v>9.94</v>
      </c>
      <c r="O39" s="3">
        <v>9.9499999999999993</v>
      </c>
      <c r="P39" s="1">
        <f t="shared" ref="P39:P42" si="47">AVERAGE(M39:O39)</f>
        <v>9.9499999999999993</v>
      </c>
      <c r="Q39" s="1">
        <f t="shared" ref="Q39:Q42" si="48">_xlfn.STDEV.S(M39:O39)</f>
        <v>1.0000000000000675E-2</v>
      </c>
      <c r="R39" s="3">
        <v>19.89</v>
      </c>
      <c r="S39" s="3">
        <v>19.93</v>
      </c>
      <c r="T39" s="3">
        <v>20</v>
      </c>
      <c r="U39" s="1">
        <f t="shared" si="34"/>
        <v>19.940000000000001</v>
      </c>
      <c r="V39" s="1">
        <f t="shared" si="35"/>
        <v>5.5677643628299987E-2</v>
      </c>
      <c r="Z39" s="1" t="e">
        <f t="shared" si="6"/>
        <v>#DIV/0!</v>
      </c>
      <c r="AA39" s="1" t="e">
        <f t="shared" si="2"/>
        <v>#DIV/0!</v>
      </c>
      <c r="AB39" s="3">
        <v>25.2</v>
      </c>
      <c r="AC39" s="3">
        <v>26.5</v>
      </c>
      <c r="AD39" s="3">
        <v>28.1</v>
      </c>
      <c r="AE39" s="87">
        <f t="shared" ref="AE39:AE42" si="49">AVERAGE(AB39:AD39)</f>
        <v>26.600000000000005</v>
      </c>
      <c r="AF39" s="1">
        <f t="shared" si="36"/>
        <v>1.4525839046333959</v>
      </c>
      <c r="AG39" s="92">
        <v>0.57999999999999996</v>
      </c>
      <c r="AH39" s="92">
        <v>0.56000000000000005</v>
      </c>
      <c r="AI39" s="92">
        <v>0.51</v>
      </c>
      <c r="AJ39" s="82">
        <f t="shared" ref="AJ39:AJ42" si="50">AVERAGE(AG39:AI39)</f>
        <v>0.55000000000000004</v>
      </c>
      <c r="AK39" s="91">
        <f t="shared" ref="AK39:AK42" si="51">_xlfn.STDEV.S(AG39:AI39)</f>
        <v>3.6055512754639883E-2</v>
      </c>
      <c r="AL39" s="103">
        <v>45989</v>
      </c>
      <c r="AM39" s="3" t="s">
        <v>53</v>
      </c>
      <c r="AN39" s="96"/>
    </row>
    <row r="40" spans="6:40">
      <c r="F40" s="14" t="s">
        <v>1</v>
      </c>
      <c r="G40" s="2">
        <v>8</v>
      </c>
      <c r="H40" s="2" t="s">
        <v>10</v>
      </c>
      <c r="I40" s="2" t="s">
        <v>11</v>
      </c>
      <c r="J40" s="2">
        <v>2</v>
      </c>
      <c r="K40" s="1">
        <v>38</v>
      </c>
      <c r="L40" s="1" t="s">
        <v>57</v>
      </c>
      <c r="M40" s="3">
        <v>9.9499999999999993</v>
      </c>
      <c r="N40" s="3">
        <v>9.94</v>
      </c>
      <c r="O40" s="3">
        <v>9.94</v>
      </c>
      <c r="P40" s="1">
        <f t="shared" si="47"/>
        <v>9.9433333333333334</v>
      </c>
      <c r="Q40" s="1">
        <f t="shared" si="48"/>
        <v>5.7735026918961348E-3</v>
      </c>
      <c r="R40" s="3">
        <v>19.95</v>
      </c>
      <c r="S40" s="3">
        <v>19.96</v>
      </c>
      <c r="T40" s="3">
        <v>19.989999999999998</v>
      </c>
      <c r="U40" s="1">
        <f t="shared" si="34"/>
        <v>19.966666666666665</v>
      </c>
      <c r="V40" s="1">
        <f t="shared" si="35"/>
        <v>2.0816659994660598E-2</v>
      </c>
      <c r="Z40" s="1" t="e">
        <f t="shared" si="6"/>
        <v>#DIV/0!</v>
      </c>
      <c r="AA40" s="1" t="e">
        <f t="shared" si="2"/>
        <v>#DIV/0!</v>
      </c>
      <c r="AB40" s="3">
        <v>25.2</v>
      </c>
      <c r="AC40" s="3">
        <v>26.5</v>
      </c>
      <c r="AD40" s="3">
        <v>28.1</v>
      </c>
      <c r="AE40" s="87">
        <f t="shared" si="49"/>
        <v>26.600000000000005</v>
      </c>
      <c r="AF40" s="1">
        <f t="shared" si="36"/>
        <v>1.4525839046333959</v>
      </c>
      <c r="AG40" s="92">
        <v>0.57999999999999996</v>
      </c>
      <c r="AH40" s="92">
        <v>0.56000000000000005</v>
      </c>
      <c r="AI40" s="92">
        <v>0.51</v>
      </c>
      <c r="AJ40" s="82">
        <f t="shared" si="50"/>
        <v>0.55000000000000004</v>
      </c>
      <c r="AK40" s="91">
        <f t="shared" si="51"/>
        <v>3.6055512754639883E-2</v>
      </c>
      <c r="AL40" s="103">
        <v>45989</v>
      </c>
      <c r="AM40" s="3" t="s">
        <v>53</v>
      </c>
      <c r="AN40" s="96"/>
    </row>
    <row r="41" spans="6:40">
      <c r="F41" s="14" t="s">
        <v>1</v>
      </c>
      <c r="G41" s="2">
        <v>8</v>
      </c>
      <c r="H41" s="2" t="s">
        <v>10</v>
      </c>
      <c r="I41" s="2" t="s">
        <v>11</v>
      </c>
      <c r="J41" s="2">
        <v>2</v>
      </c>
      <c r="K41" s="1">
        <v>39</v>
      </c>
      <c r="L41" s="1" t="s">
        <v>59</v>
      </c>
      <c r="M41" s="3">
        <v>9.9</v>
      </c>
      <c r="N41" s="3">
        <v>9.93</v>
      </c>
      <c r="O41" s="3">
        <v>9.93</v>
      </c>
      <c r="P41" s="1">
        <f t="shared" si="47"/>
        <v>9.92</v>
      </c>
      <c r="Q41" s="1">
        <f t="shared" si="48"/>
        <v>1.7320508075688402E-2</v>
      </c>
      <c r="R41" s="3">
        <v>19.940000000000001</v>
      </c>
      <c r="S41" s="3">
        <v>19.95</v>
      </c>
      <c r="T41" s="3">
        <v>19.96</v>
      </c>
      <c r="U41" s="1">
        <f t="shared" si="34"/>
        <v>19.95</v>
      </c>
      <c r="V41" s="1">
        <f t="shared" si="35"/>
        <v>9.9999999999997868E-3</v>
      </c>
      <c r="Z41" s="1" t="e">
        <f t="shared" si="6"/>
        <v>#DIV/0!</v>
      </c>
      <c r="AA41" s="1" t="e">
        <f t="shared" si="2"/>
        <v>#DIV/0!</v>
      </c>
      <c r="AB41" s="3">
        <v>25.2</v>
      </c>
      <c r="AC41" s="3">
        <v>26.5</v>
      </c>
      <c r="AD41" s="3">
        <v>28.1</v>
      </c>
      <c r="AE41" s="87">
        <f t="shared" si="49"/>
        <v>26.600000000000005</v>
      </c>
      <c r="AF41" s="1">
        <f t="shared" si="36"/>
        <v>1.4525839046333959</v>
      </c>
      <c r="AG41" s="92">
        <v>0.57999999999999996</v>
      </c>
      <c r="AH41" s="92">
        <v>0.56000000000000005</v>
      </c>
      <c r="AI41" s="92">
        <v>0.51</v>
      </c>
      <c r="AJ41" s="82">
        <f t="shared" si="50"/>
        <v>0.55000000000000004</v>
      </c>
      <c r="AK41" s="91">
        <f t="shared" si="51"/>
        <v>3.6055512754639883E-2</v>
      </c>
      <c r="AL41" s="103">
        <v>45989</v>
      </c>
      <c r="AM41" s="3" t="s">
        <v>53</v>
      </c>
      <c r="AN41" s="96"/>
    </row>
    <row r="42" spans="6:40" ht="15.75" thickBot="1">
      <c r="F42" s="14" t="s">
        <v>1</v>
      </c>
      <c r="G42" s="2">
        <v>8</v>
      </c>
      <c r="H42" s="2" t="s">
        <v>10</v>
      </c>
      <c r="I42" s="2" t="s">
        <v>11</v>
      </c>
      <c r="J42" s="2">
        <v>2</v>
      </c>
      <c r="K42" s="1">
        <v>40</v>
      </c>
      <c r="L42" s="1" t="s">
        <v>60</v>
      </c>
      <c r="M42" s="3">
        <v>9.9499999999999993</v>
      </c>
      <c r="N42" s="3">
        <v>9.9499999999999993</v>
      </c>
      <c r="O42" s="3">
        <v>9.93</v>
      </c>
      <c r="P42" s="1">
        <f t="shared" si="47"/>
        <v>9.9433333333333334</v>
      </c>
      <c r="Q42" s="1">
        <f t="shared" si="48"/>
        <v>1.154700538379227E-2</v>
      </c>
      <c r="R42" s="21">
        <v>19.920000000000002</v>
      </c>
      <c r="S42" s="21">
        <v>19.88</v>
      </c>
      <c r="T42" s="21">
        <v>19.899999999999999</v>
      </c>
      <c r="U42" s="1">
        <f t="shared" si="34"/>
        <v>19.899999999999999</v>
      </c>
      <c r="V42" s="1">
        <f t="shared" si="35"/>
        <v>2.000000000000135E-2</v>
      </c>
      <c r="W42" s="21"/>
      <c r="X42" s="21"/>
      <c r="Y42" s="21"/>
      <c r="Z42" s="1" t="e">
        <f t="shared" si="6"/>
        <v>#DIV/0!</v>
      </c>
      <c r="AA42" s="1" t="e">
        <f t="shared" si="2"/>
        <v>#DIV/0!</v>
      </c>
      <c r="AB42" s="3">
        <v>25.2</v>
      </c>
      <c r="AC42" s="3">
        <v>26.5</v>
      </c>
      <c r="AD42" s="3">
        <v>28.1</v>
      </c>
      <c r="AE42" s="87">
        <f t="shared" si="49"/>
        <v>26.600000000000005</v>
      </c>
      <c r="AF42" s="1">
        <f t="shared" si="36"/>
        <v>1.4525839046333959</v>
      </c>
      <c r="AG42" s="92">
        <v>0.57999999999999996</v>
      </c>
      <c r="AH42" s="92">
        <v>0.56000000000000005</v>
      </c>
      <c r="AI42" s="92">
        <v>0.51</v>
      </c>
      <c r="AJ42" s="82">
        <f t="shared" si="50"/>
        <v>0.55000000000000004</v>
      </c>
      <c r="AK42" s="91">
        <f t="shared" si="51"/>
        <v>3.6055512754639883E-2</v>
      </c>
      <c r="AL42" s="103">
        <v>45989</v>
      </c>
      <c r="AM42" s="3" t="s">
        <v>53</v>
      </c>
      <c r="AN42" s="96"/>
    </row>
    <row r="43" spans="6:40">
      <c r="F43" s="30" t="s">
        <v>1</v>
      </c>
      <c r="G43" s="32">
        <v>9</v>
      </c>
      <c r="H43" s="32" t="s">
        <v>12</v>
      </c>
      <c r="I43" s="32" t="s">
        <v>9</v>
      </c>
      <c r="J43" s="32">
        <v>2</v>
      </c>
      <c r="K43" s="31">
        <v>41</v>
      </c>
      <c r="L43" s="31" t="s">
        <v>52</v>
      </c>
      <c r="M43" s="39">
        <v>19.95</v>
      </c>
      <c r="N43" s="39">
        <v>19.940000000000001</v>
      </c>
      <c r="O43" s="39">
        <v>19.93</v>
      </c>
      <c r="P43" s="31">
        <f>AVERAGE(M43:O43)</f>
        <v>19.940000000000001</v>
      </c>
      <c r="Q43" s="31">
        <f>_xlfn.STDEV.S(M43:O43)</f>
        <v>9.9999999999997868E-3</v>
      </c>
      <c r="R43" s="3">
        <v>40</v>
      </c>
      <c r="S43" s="3">
        <v>40.04</v>
      </c>
      <c r="T43" s="3">
        <v>39.99</v>
      </c>
      <c r="U43" s="31">
        <f t="shared" ref="U43:U62" si="52">AVERAGE(R43:T43)</f>
        <v>40.01</v>
      </c>
      <c r="V43" s="31">
        <f t="shared" ref="V43:V62" si="53">_xlfn.STDEV.S(R43:T43)</f>
        <v>2.6457513110644669E-2</v>
      </c>
      <c r="Z43" s="31" t="e">
        <v>#DIV/0!</v>
      </c>
      <c r="AA43" s="31" t="e">
        <v>#DIV/0!</v>
      </c>
      <c r="AB43" s="39">
        <v>21.1</v>
      </c>
      <c r="AC43" s="39">
        <v>27.5</v>
      </c>
      <c r="AD43" s="39">
        <v>27.8</v>
      </c>
      <c r="AE43" s="85">
        <f>AVERAGE(AB43:AD43)</f>
        <v>25.466666666666669</v>
      </c>
      <c r="AF43" s="31">
        <f t="shared" si="36"/>
        <v>3.7846179904097674</v>
      </c>
      <c r="AG43" s="94">
        <v>0.79</v>
      </c>
      <c r="AH43" s="94">
        <v>0.56000000000000005</v>
      </c>
      <c r="AI43" s="94">
        <v>0.53</v>
      </c>
      <c r="AJ43" s="33">
        <f>AVERAGE(AG43:AI43)</f>
        <v>0.62666666666666671</v>
      </c>
      <c r="AK43" s="90">
        <f>_xlfn.STDEV.S(AG43:AI43)</f>
        <v>0.14224392195567948</v>
      </c>
      <c r="AL43" s="102">
        <v>45990</v>
      </c>
      <c r="AM43" s="39" t="s">
        <v>53</v>
      </c>
      <c r="AN43" s="95"/>
    </row>
    <row r="44" spans="6:40">
      <c r="F44" s="14" t="s">
        <v>1</v>
      </c>
      <c r="G44" s="2">
        <v>9</v>
      </c>
      <c r="H44" s="2" t="s">
        <v>12</v>
      </c>
      <c r="I44" s="2" t="s">
        <v>9</v>
      </c>
      <c r="J44" s="2">
        <v>2</v>
      </c>
      <c r="K44" s="1">
        <v>42</v>
      </c>
      <c r="L44" s="1" t="s">
        <v>55</v>
      </c>
      <c r="M44" s="3">
        <v>19.98</v>
      </c>
      <c r="N44" s="3">
        <v>19.96</v>
      </c>
      <c r="O44" s="3">
        <v>19.920000000000002</v>
      </c>
      <c r="P44" s="1">
        <f t="shared" ref="P44:P47" si="54">AVERAGE(M44:O44)</f>
        <v>19.953333333333333</v>
      </c>
      <c r="Q44" s="1">
        <f t="shared" ref="Q44:Q47" si="55">_xlfn.STDEV.S(M44:O44)</f>
        <v>3.0550504633038281E-2</v>
      </c>
      <c r="R44" s="3">
        <v>40.03</v>
      </c>
      <c r="S44" s="3">
        <v>40.04</v>
      </c>
      <c r="T44" s="3">
        <v>39.94</v>
      </c>
      <c r="U44" s="1">
        <f t="shared" si="52"/>
        <v>40.00333333333333</v>
      </c>
      <c r="V44" s="1">
        <f t="shared" si="53"/>
        <v>5.5075705472862321E-2</v>
      </c>
      <c r="Z44" s="1" t="e">
        <v>#DIV/0!</v>
      </c>
      <c r="AA44" s="1" t="e">
        <v>#DIV/0!</v>
      </c>
      <c r="AB44" s="3">
        <v>21.1</v>
      </c>
      <c r="AC44" s="3">
        <v>27.5</v>
      </c>
      <c r="AD44" s="3">
        <v>27.8</v>
      </c>
      <c r="AE44" s="87">
        <f t="shared" ref="AE44:AE47" si="56">AVERAGE(AB44:AD44)</f>
        <v>25.466666666666669</v>
      </c>
      <c r="AF44" s="1">
        <f t="shared" si="36"/>
        <v>3.7846179904097674</v>
      </c>
      <c r="AG44" s="92">
        <v>0.79</v>
      </c>
      <c r="AH44" s="92">
        <v>0.56000000000000005</v>
      </c>
      <c r="AI44" s="92">
        <v>0.53</v>
      </c>
      <c r="AJ44" s="82">
        <f t="shared" ref="AJ44:AJ47" si="57">AVERAGE(AG44:AI44)</f>
        <v>0.62666666666666671</v>
      </c>
      <c r="AK44" s="91">
        <f t="shared" ref="AK44:AK47" si="58">_xlfn.STDEV.S(AG44:AI44)</f>
        <v>0.14224392195567948</v>
      </c>
      <c r="AL44" s="103">
        <v>45990</v>
      </c>
      <c r="AM44" s="3" t="s">
        <v>53</v>
      </c>
      <c r="AN44" s="96"/>
    </row>
    <row r="45" spans="6:40">
      <c r="F45" s="14" t="s">
        <v>1</v>
      </c>
      <c r="G45" s="2">
        <v>9</v>
      </c>
      <c r="H45" s="2" t="s">
        <v>12</v>
      </c>
      <c r="I45" s="2" t="s">
        <v>9</v>
      </c>
      <c r="J45" s="2">
        <v>2</v>
      </c>
      <c r="K45" s="1">
        <v>43</v>
      </c>
      <c r="L45" s="1" t="s">
        <v>57</v>
      </c>
      <c r="M45" s="3">
        <v>19.87</v>
      </c>
      <c r="N45" s="3">
        <v>19.920000000000002</v>
      </c>
      <c r="O45" s="3">
        <v>19.91</v>
      </c>
      <c r="P45" s="1">
        <f t="shared" si="54"/>
        <v>19.900000000000002</v>
      </c>
      <c r="Q45" s="1">
        <f t="shared" si="55"/>
        <v>2.6457513110646012E-2</v>
      </c>
      <c r="R45" s="3">
        <v>39.94</v>
      </c>
      <c r="S45" s="3">
        <v>39.93</v>
      </c>
      <c r="T45" s="3">
        <v>39.94</v>
      </c>
      <c r="U45" s="1">
        <f t="shared" si="52"/>
        <v>39.936666666666667</v>
      </c>
      <c r="V45" s="1">
        <f t="shared" si="53"/>
        <v>5.7735026918951087E-3</v>
      </c>
      <c r="Z45" s="1" t="e">
        <v>#DIV/0!</v>
      </c>
      <c r="AA45" s="1" t="e">
        <v>#DIV/0!</v>
      </c>
      <c r="AB45" s="3">
        <v>21.1</v>
      </c>
      <c r="AC45" s="3">
        <v>27.5</v>
      </c>
      <c r="AD45" s="3">
        <v>27.8</v>
      </c>
      <c r="AE45" s="87">
        <f t="shared" si="56"/>
        <v>25.466666666666669</v>
      </c>
      <c r="AF45" s="1">
        <f t="shared" si="36"/>
        <v>3.7846179904097674</v>
      </c>
      <c r="AG45" s="92">
        <v>0.79</v>
      </c>
      <c r="AH45" s="92">
        <v>0.56000000000000005</v>
      </c>
      <c r="AI45" s="92">
        <v>0.53</v>
      </c>
      <c r="AJ45" s="82">
        <f t="shared" si="57"/>
        <v>0.62666666666666671</v>
      </c>
      <c r="AK45" s="91">
        <f t="shared" si="58"/>
        <v>0.14224392195567948</v>
      </c>
      <c r="AL45" s="103">
        <v>45990</v>
      </c>
      <c r="AM45" s="3" t="s">
        <v>53</v>
      </c>
      <c r="AN45" s="96"/>
    </row>
    <row r="46" spans="6:40">
      <c r="F46" s="14" t="s">
        <v>1</v>
      </c>
      <c r="G46" s="2">
        <v>9</v>
      </c>
      <c r="H46" s="2" t="s">
        <v>12</v>
      </c>
      <c r="I46" s="2" t="s">
        <v>9</v>
      </c>
      <c r="J46" s="2">
        <v>2</v>
      </c>
      <c r="K46" s="1">
        <v>44</v>
      </c>
      <c r="L46" s="1" t="s">
        <v>59</v>
      </c>
      <c r="M46" s="3">
        <v>19.96</v>
      </c>
      <c r="N46" s="3">
        <v>19.87</v>
      </c>
      <c r="O46" s="3">
        <v>19.93</v>
      </c>
      <c r="P46" s="1">
        <f t="shared" si="54"/>
        <v>19.919999999999998</v>
      </c>
      <c r="Q46" s="1">
        <f t="shared" si="55"/>
        <v>4.5825756949558198E-2</v>
      </c>
      <c r="R46" s="3">
        <v>39.950000000000003</v>
      </c>
      <c r="S46" s="3">
        <v>40.020000000000003</v>
      </c>
      <c r="T46" s="3">
        <v>39.96</v>
      </c>
      <c r="U46" s="1">
        <f t="shared" si="52"/>
        <v>39.976666666666667</v>
      </c>
      <c r="V46" s="1">
        <f t="shared" si="53"/>
        <v>3.7859388972002424E-2</v>
      </c>
      <c r="Z46" s="1" t="e">
        <v>#DIV/0!</v>
      </c>
      <c r="AA46" s="1" t="e">
        <v>#DIV/0!</v>
      </c>
      <c r="AB46" s="3">
        <v>21.1</v>
      </c>
      <c r="AC46" s="3">
        <v>27.5</v>
      </c>
      <c r="AD46" s="3">
        <v>27.8</v>
      </c>
      <c r="AE46" s="87">
        <f t="shared" si="56"/>
        <v>25.466666666666669</v>
      </c>
      <c r="AF46" s="1">
        <f t="shared" si="36"/>
        <v>3.7846179904097674</v>
      </c>
      <c r="AG46" s="92">
        <v>0.79</v>
      </c>
      <c r="AH46" s="92">
        <v>0.56000000000000005</v>
      </c>
      <c r="AI46" s="92">
        <v>0.53</v>
      </c>
      <c r="AJ46" s="82">
        <f t="shared" si="57"/>
        <v>0.62666666666666671</v>
      </c>
      <c r="AK46" s="91">
        <f t="shared" si="58"/>
        <v>0.14224392195567948</v>
      </c>
      <c r="AL46" s="103">
        <v>45990</v>
      </c>
      <c r="AM46" s="3" t="s">
        <v>53</v>
      </c>
      <c r="AN46" s="96"/>
    </row>
    <row r="47" spans="6:40" ht="15.75" thickBot="1">
      <c r="F47" s="14" t="s">
        <v>1</v>
      </c>
      <c r="G47" s="2">
        <v>9</v>
      </c>
      <c r="H47" s="2" t="s">
        <v>12</v>
      </c>
      <c r="I47" s="2" t="s">
        <v>9</v>
      </c>
      <c r="J47" s="2">
        <v>2</v>
      </c>
      <c r="K47" s="1">
        <v>45</v>
      </c>
      <c r="L47" s="1" t="s">
        <v>60</v>
      </c>
      <c r="M47" s="3">
        <v>19.96</v>
      </c>
      <c r="N47" s="3">
        <v>19.88</v>
      </c>
      <c r="O47" s="3">
        <v>19.97</v>
      </c>
      <c r="P47" s="1">
        <f t="shared" si="54"/>
        <v>19.936666666666667</v>
      </c>
      <c r="Q47" s="1">
        <f t="shared" si="55"/>
        <v>4.932882862316286E-2</v>
      </c>
      <c r="R47" s="21">
        <v>40.01</v>
      </c>
      <c r="S47" s="21">
        <v>40.03</v>
      </c>
      <c r="T47" s="21">
        <v>40</v>
      </c>
      <c r="U47" s="1">
        <f t="shared" si="52"/>
        <v>40.013333333333328</v>
      </c>
      <c r="V47" s="1">
        <f t="shared" si="53"/>
        <v>1.5275252316520304E-2</v>
      </c>
      <c r="W47" s="21"/>
      <c r="X47" s="21"/>
      <c r="Y47" s="21"/>
      <c r="Z47" s="1" t="e">
        <v>#DIV/0!</v>
      </c>
      <c r="AA47" s="1" t="e">
        <v>#DIV/0!</v>
      </c>
      <c r="AB47" s="3">
        <v>21.1</v>
      </c>
      <c r="AC47" s="3">
        <v>27.5</v>
      </c>
      <c r="AD47" s="3">
        <v>27.8</v>
      </c>
      <c r="AE47" s="87">
        <f t="shared" si="56"/>
        <v>25.466666666666669</v>
      </c>
      <c r="AF47" s="1">
        <f t="shared" si="36"/>
        <v>3.7846179904097674</v>
      </c>
      <c r="AG47" s="92">
        <v>0.79</v>
      </c>
      <c r="AH47" s="92">
        <v>0.56000000000000005</v>
      </c>
      <c r="AI47" s="92">
        <v>0.53</v>
      </c>
      <c r="AJ47" s="82">
        <f t="shared" si="57"/>
        <v>0.62666666666666671</v>
      </c>
      <c r="AK47" s="91">
        <f t="shared" si="58"/>
        <v>0.14224392195567948</v>
      </c>
      <c r="AL47" s="103">
        <v>45990</v>
      </c>
      <c r="AM47" s="3" t="s">
        <v>53</v>
      </c>
      <c r="AN47" s="96"/>
    </row>
    <row r="48" spans="6:40">
      <c r="F48" s="30" t="s">
        <v>1</v>
      </c>
      <c r="G48" s="32">
        <v>10</v>
      </c>
      <c r="H48" s="32" t="s">
        <v>10</v>
      </c>
      <c r="I48" s="32" t="s">
        <v>9</v>
      </c>
      <c r="J48" s="39">
        <v>2</v>
      </c>
      <c r="K48" s="31">
        <v>46</v>
      </c>
      <c r="L48" s="31" t="s">
        <v>52</v>
      </c>
      <c r="M48" s="39">
        <v>19.920000000000002</v>
      </c>
      <c r="N48" s="39">
        <v>19.899999999999999</v>
      </c>
      <c r="O48" s="39">
        <v>19.86</v>
      </c>
      <c r="P48" s="31">
        <f>AVERAGE(M48:O48)</f>
        <v>19.893333333333334</v>
      </c>
      <c r="Q48" s="31">
        <f>_xlfn.STDEV.S(M48:O48)</f>
        <v>3.0550504633039835E-2</v>
      </c>
      <c r="R48" s="3">
        <v>39.85</v>
      </c>
      <c r="S48" s="3">
        <v>39.86</v>
      </c>
      <c r="T48" s="3">
        <v>39.85</v>
      </c>
      <c r="U48" s="31">
        <f t="shared" si="52"/>
        <v>39.853333333333332</v>
      </c>
      <c r="V48" s="31">
        <f t="shared" si="53"/>
        <v>5.7735026918951087E-3</v>
      </c>
      <c r="Z48" s="31" t="e">
        <v>#DIV/0!</v>
      </c>
      <c r="AA48" s="31" t="e">
        <v>#DIV/0!</v>
      </c>
      <c r="AB48" s="39">
        <v>25.4</v>
      </c>
      <c r="AC48" s="39">
        <v>28.1</v>
      </c>
      <c r="AD48" s="39">
        <v>28.2</v>
      </c>
      <c r="AE48" s="85">
        <f>AVERAGE(AB48:AD48)</f>
        <v>27.233333333333334</v>
      </c>
      <c r="AF48" s="31">
        <f t="shared" si="36"/>
        <v>1.5885003409925151</v>
      </c>
      <c r="AG48" s="94">
        <v>0.59</v>
      </c>
      <c r="AH48" s="94">
        <v>0.5</v>
      </c>
      <c r="AI48" s="94">
        <v>0.5</v>
      </c>
      <c r="AJ48" s="33">
        <f>AVERAGE(AG48:AI48)</f>
        <v>0.52999999999999992</v>
      </c>
      <c r="AK48" s="90">
        <f>_xlfn.STDEV.S(AG48:AI48)</f>
        <v>5.1961524227066305E-2</v>
      </c>
      <c r="AL48" s="102">
        <v>45990</v>
      </c>
      <c r="AM48" s="39" t="s">
        <v>53</v>
      </c>
      <c r="AN48" s="95"/>
    </row>
    <row r="49" spans="6:40">
      <c r="F49" s="14" t="s">
        <v>1</v>
      </c>
      <c r="G49" s="2">
        <v>10</v>
      </c>
      <c r="H49" s="2" t="s">
        <v>10</v>
      </c>
      <c r="I49" s="2" t="s">
        <v>9</v>
      </c>
      <c r="J49" s="3">
        <v>2</v>
      </c>
      <c r="K49" s="1">
        <v>47</v>
      </c>
      <c r="L49" s="1" t="s">
        <v>55</v>
      </c>
      <c r="M49" s="3">
        <v>19.850000000000001</v>
      </c>
      <c r="N49" s="3">
        <v>19.87</v>
      </c>
      <c r="O49" s="3">
        <v>19.88</v>
      </c>
      <c r="P49" s="1">
        <f t="shared" ref="P49:P52" si="59">AVERAGE(M49:O49)</f>
        <v>19.866666666666664</v>
      </c>
      <c r="Q49" s="1">
        <f t="shared" ref="Q49:Q52" si="60">_xlfn.STDEV.S(M49:O49)</f>
        <v>1.5275252316518365E-2</v>
      </c>
      <c r="R49" s="3">
        <v>39.85</v>
      </c>
      <c r="S49" s="3">
        <v>39.880000000000003</v>
      </c>
      <c r="T49" s="3">
        <v>39.909999999999997</v>
      </c>
      <c r="U49" s="1">
        <f t="shared" si="52"/>
        <v>39.880000000000003</v>
      </c>
      <c r="V49" s="1">
        <f t="shared" si="53"/>
        <v>2.9999999999997584E-2</v>
      </c>
      <c r="Z49" s="1" t="e">
        <v>#DIV/0!</v>
      </c>
      <c r="AA49" s="1" t="e">
        <v>#DIV/0!</v>
      </c>
      <c r="AB49" s="3">
        <v>25.4</v>
      </c>
      <c r="AC49" s="3">
        <v>28.1</v>
      </c>
      <c r="AD49" s="3">
        <v>28.2</v>
      </c>
      <c r="AE49" s="87">
        <f t="shared" ref="AE49:AE52" si="61">AVERAGE(AB49:AD49)</f>
        <v>27.233333333333334</v>
      </c>
      <c r="AF49" s="1">
        <f t="shared" si="36"/>
        <v>1.5885003409925151</v>
      </c>
      <c r="AG49" s="92">
        <v>0.59</v>
      </c>
      <c r="AH49" s="92">
        <v>0.5</v>
      </c>
      <c r="AI49" s="92">
        <v>0.5</v>
      </c>
      <c r="AJ49" s="82">
        <f t="shared" ref="AJ49:AJ52" si="62">AVERAGE(AG49:AI49)</f>
        <v>0.52999999999999992</v>
      </c>
      <c r="AK49" s="91">
        <f t="shared" ref="AK49:AK52" si="63">_xlfn.STDEV.S(AG49:AI49)</f>
        <v>5.1961524227066305E-2</v>
      </c>
      <c r="AL49" s="103">
        <v>45990</v>
      </c>
      <c r="AM49" s="3" t="s">
        <v>53</v>
      </c>
      <c r="AN49" s="96"/>
    </row>
    <row r="50" spans="6:40">
      <c r="F50" s="14" t="s">
        <v>1</v>
      </c>
      <c r="G50" s="2">
        <v>10</v>
      </c>
      <c r="H50" s="2" t="s">
        <v>10</v>
      </c>
      <c r="I50" s="2" t="s">
        <v>9</v>
      </c>
      <c r="J50" s="3">
        <v>2</v>
      </c>
      <c r="K50" s="1">
        <v>48</v>
      </c>
      <c r="L50" s="1" t="s">
        <v>57</v>
      </c>
      <c r="M50" s="3">
        <v>19.899999999999999</v>
      </c>
      <c r="N50" s="3">
        <v>19.88</v>
      </c>
      <c r="O50" s="3">
        <v>19.899999999999999</v>
      </c>
      <c r="P50" s="1">
        <f t="shared" si="59"/>
        <v>19.893333333333334</v>
      </c>
      <c r="Q50" s="1">
        <f t="shared" si="60"/>
        <v>1.154700538379227E-2</v>
      </c>
      <c r="R50" s="3">
        <v>39.840000000000003</v>
      </c>
      <c r="S50" s="3">
        <v>39.85</v>
      </c>
      <c r="T50" s="3">
        <v>39.880000000000003</v>
      </c>
      <c r="U50" s="1">
        <f t="shared" si="52"/>
        <v>39.856666666666662</v>
      </c>
      <c r="V50" s="1">
        <f t="shared" si="53"/>
        <v>2.0816659994661167E-2</v>
      </c>
      <c r="Z50" s="1" t="e">
        <v>#DIV/0!</v>
      </c>
      <c r="AA50" s="1" t="e">
        <v>#DIV/0!</v>
      </c>
      <c r="AB50" s="3">
        <v>25.4</v>
      </c>
      <c r="AC50" s="3">
        <v>28.1</v>
      </c>
      <c r="AD50" s="3">
        <v>28.2</v>
      </c>
      <c r="AE50" s="87">
        <f t="shared" si="61"/>
        <v>27.233333333333334</v>
      </c>
      <c r="AF50" s="1">
        <f t="shared" si="36"/>
        <v>1.5885003409925151</v>
      </c>
      <c r="AG50" s="92">
        <v>0.59</v>
      </c>
      <c r="AH50" s="92">
        <v>0.5</v>
      </c>
      <c r="AI50" s="92">
        <v>0.5</v>
      </c>
      <c r="AJ50" s="82">
        <f t="shared" si="62"/>
        <v>0.52999999999999992</v>
      </c>
      <c r="AK50" s="91">
        <f t="shared" si="63"/>
        <v>5.1961524227066305E-2</v>
      </c>
      <c r="AL50" s="103">
        <v>45990</v>
      </c>
      <c r="AM50" s="3" t="s">
        <v>53</v>
      </c>
      <c r="AN50" s="96"/>
    </row>
    <row r="51" spans="6:40">
      <c r="F51" s="14" t="s">
        <v>1</v>
      </c>
      <c r="G51" s="2">
        <v>10</v>
      </c>
      <c r="H51" s="2" t="s">
        <v>10</v>
      </c>
      <c r="I51" s="2" t="s">
        <v>9</v>
      </c>
      <c r="J51" s="3">
        <v>2</v>
      </c>
      <c r="K51" s="1">
        <v>49</v>
      </c>
      <c r="L51" s="1" t="s">
        <v>59</v>
      </c>
      <c r="M51" s="3">
        <v>19.86</v>
      </c>
      <c r="N51" s="3">
        <v>19.93</v>
      </c>
      <c r="O51" s="3">
        <v>19.91</v>
      </c>
      <c r="P51" s="1">
        <f t="shared" si="59"/>
        <v>19.900000000000002</v>
      </c>
      <c r="Q51" s="1">
        <f t="shared" si="60"/>
        <v>3.6055512754640112E-2</v>
      </c>
      <c r="R51" s="3">
        <v>39.950000000000003</v>
      </c>
      <c r="S51" s="3">
        <v>39.909999999999997</v>
      </c>
      <c r="T51" s="3">
        <v>39.909999999999997</v>
      </c>
      <c r="U51" s="1">
        <f t="shared" si="52"/>
        <v>39.923333333333332</v>
      </c>
      <c r="V51" s="1">
        <f t="shared" si="53"/>
        <v>2.309401076758864E-2</v>
      </c>
      <c r="Z51" s="1" t="e">
        <v>#DIV/0!</v>
      </c>
      <c r="AA51" s="1" t="e">
        <v>#DIV/0!</v>
      </c>
      <c r="AB51" s="3">
        <v>25.4</v>
      </c>
      <c r="AC51" s="3">
        <v>28.1</v>
      </c>
      <c r="AD51" s="3">
        <v>28.2</v>
      </c>
      <c r="AE51" s="87">
        <f t="shared" si="61"/>
        <v>27.233333333333334</v>
      </c>
      <c r="AF51" s="1">
        <f t="shared" si="36"/>
        <v>1.5885003409925151</v>
      </c>
      <c r="AG51" s="92">
        <v>0.59</v>
      </c>
      <c r="AH51" s="92">
        <v>0.5</v>
      </c>
      <c r="AI51" s="92">
        <v>0.5</v>
      </c>
      <c r="AJ51" s="82">
        <f t="shared" si="62"/>
        <v>0.52999999999999992</v>
      </c>
      <c r="AK51" s="91">
        <f t="shared" si="63"/>
        <v>5.1961524227066305E-2</v>
      </c>
      <c r="AL51" s="103">
        <v>45990</v>
      </c>
      <c r="AM51" s="3" t="s">
        <v>53</v>
      </c>
      <c r="AN51" s="96"/>
    </row>
    <row r="52" spans="6:40" ht="15.75" thickBot="1">
      <c r="F52" s="14" t="s">
        <v>1</v>
      </c>
      <c r="G52" s="2">
        <v>10</v>
      </c>
      <c r="H52" s="2" t="s">
        <v>10</v>
      </c>
      <c r="I52" s="2" t="s">
        <v>9</v>
      </c>
      <c r="J52" s="3">
        <v>2</v>
      </c>
      <c r="K52" s="1">
        <v>50</v>
      </c>
      <c r="L52" s="1" t="s">
        <v>60</v>
      </c>
      <c r="M52" s="3">
        <v>19.89</v>
      </c>
      <c r="N52" s="3">
        <v>19.899999999999999</v>
      </c>
      <c r="O52" s="3">
        <v>19.91</v>
      </c>
      <c r="P52" s="1">
        <f t="shared" si="59"/>
        <v>19.900000000000002</v>
      </c>
      <c r="Q52" s="1">
        <f t="shared" si="60"/>
        <v>9.9999999999997868E-3</v>
      </c>
      <c r="R52" s="21">
        <v>39.869999999999997</v>
      </c>
      <c r="S52" s="21">
        <v>39.9</v>
      </c>
      <c r="T52" s="21">
        <v>39.909999999999997</v>
      </c>
      <c r="U52" s="1">
        <f t="shared" si="52"/>
        <v>39.893333333333331</v>
      </c>
      <c r="V52" s="1">
        <f t="shared" si="53"/>
        <v>2.0816659994661167E-2</v>
      </c>
      <c r="W52" s="21"/>
      <c r="X52" s="21"/>
      <c r="Y52" s="21"/>
      <c r="Z52" s="1" t="e">
        <v>#DIV/0!</v>
      </c>
      <c r="AA52" s="1" t="e">
        <v>#DIV/0!</v>
      </c>
      <c r="AB52" s="3">
        <v>25.4</v>
      </c>
      <c r="AC52" s="3">
        <v>28.1</v>
      </c>
      <c r="AD52" s="3">
        <v>28.2</v>
      </c>
      <c r="AE52" s="87">
        <f t="shared" si="61"/>
        <v>27.233333333333334</v>
      </c>
      <c r="AF52" s="1">
        <f t="shared" si="36"/>
        <v>1.5885003409925151</v>
      </c>
      <c r="AG52" s="92">
        <v>0.59</v>
      </c>
      <c r="AH52" s="92">
        <v>0.5</v>
      </c>
      <c r="AI52" s="92">
        <v>0.5</v>
      </c>
      <c r="AJ52" s="82">
        <f t="shared" si="62"/>
        <v>0.52999999999999992</v>
      </c>
      <c r="AK52" s="91">
        <f t="shared" si="63"/>
        <v>5.1961524227066305E-2</v>
      </c>
      <c r="AL52" s="103">
        <v>45990</v>
      </c>
      <c r="AM52" s="3" t="s">
        <v>53</v>
      </c>
      <c r="AN52" s="96"/>
    </row>
    <row r="53" spans="6:40">
      <c r="F53" s="30" t="s">
        <v>1</v>
      </c>
      <c r="G53" s="32">
        <v>11</v>
      </c>
      <c r="H53" s="32" t="s">
        <v>8</v>
      </c>
      <c r="I53" s="32" t="s">
        <v>11</v>
      </c>
      <c r="J53" s="39">
        <v>2</v>
      </c>
      <c r="K53" s="31">
        <v>51</v>
      </c>
      <c r="L53" s="31" t="s">
        <v>52</v>
      </c>
      <c r="M53" s="39">
        <v>9.8800000000000008</v>
      </c>
      <c r="N53" s="39">
        <v>9.91</v>
      </c>
      <c r="O53" s="39">
        <v>9.91</v>
      </c>
      <c r="P53" s="31">
        <f>AVERAGE(M53:O53)</f>
        <v>9.9</v>
      </c>
      <c r="Q53" s="31">
        <f>_xlfn.STDEV.S(M53:O53)</f>
        <v>1.7320508075688402E-2</v>
      </c>
      <c r="R53" s="3">
        <v>19.91</v>
      </c>
      <c r="S53" s="3">
        <v>19.899999999999999</v>
      </c>
      <c r="T53" s="3">
        <v>19.91</v>
      </c>
      <c r="U53" s="31">
        <f t="shared" si="52"/>
        <v>19.906666666666666</v>
      </c>
      <c r="V53" s="31">
        <f t="shared" si="53"/>
        <v>5.77350269189716E-3</v>
      </c>
      <c r="Z53" s="31" t="e">
        <v>#DIV/0!</v>
      </c>
      <c r="AA53" s="31" t="e">
        <v>#DIV/0!</v>
      </c>
      <c r="AB53" s="39">
        <v>25.9</v>
      </c>
      <c r="AC53" s="39">
        <v>28.1</v>
      </c>
      <c r="AD53" s="39">
        <v>28.2</v>
      </c>
      <c r="AE53" s="85">
        <f>AVERAGE(AB53:AD53)</f>
        <v>27.400000000000002</v>
      </c>
      <c r="AF53" s="31">
        <f t="shared" si="36"/>
        <v>1.3000000000000009</v>
      </c>
      <c r="AG53" s="94">
        <v>0.56999999999999995</v>
      </c>
      <c r="AH53" s="94">
        <v>0.52</v>
      </c>
      <c r="AI53" s="94">
        <v>0.52</v>
      </c>
      <c r="AJ53" s="33">
        <f>AVERAGE(AG53:AI53)</f>
        <v>0.53666666666666663</v>
      </c>
      <c r="AK53" s="90">
        <f>_xlfn.STDEV.S(AG53:AI53)</f>
        <v>2.8867513459481253E-2</v>
      </c>
      <c r="AL53" s="102">
        <v>45990</v>
      </c>
      <c r="AM53" s="39" t="s">
        <v>53</v>
      </c>
      <c r="AN53" s="95"/>
    </row>
    <row r="54" spans="6:40">
      <c r="F54" s="14" t="s">
        <v>1</v>
      </c>
      <c r="G54" s="2">
        <v>11</v>
      </c>
      <c r="H54" s="2" t="s">
        <v>8</v>
      </c>
      <c r="I54" s="2" t="s">
        <v>11</v>
      </c>
      <c r="J54" s="3">
        <v>2</v>
      </c>
      <c r="K54" s="1">
        <v>52</v>
      </c>
      <c r="L54" s="1" t="s">
        <v>55</v>
      </c>
      <c r="M54" s="3">
        <v>9.93</v>
      </c>
      <c r="N54" s="3">
        <v>9.92</v>
      </c>
      <c r="O54" s="3">
        <v>9.92</v>
      </c>
      <c r="P54" s="1">
        <f t="shared" ref="P54:P57" si="64">AVERAGE(M54:O54)</f>
        <v>9.9233333333333338</v>
      </c>
      <c r="Q54" s="1">
        <f t="shared" ref="Q54:Q57" si="65">_xlfn.STDEV.S(M54:O54)</f>
        <v>5.7735026918961348E-3</v>
      </c>
      <c r="R54" s="3">
        <v>19.89</v>
      </c>
      <c r="S54" s="3">
        <v>19.899999999999999</v>
      </c>
      <c r="T54" s="3">
        <v>19.940000000000001</v>
      </c>
      <c r="U54" s="1">
        <f t="shared" si="52"/>
        <v>19.91</v>
      </c>
      <c r="V54" s="1">
        <f t="shared" si="53"/>
        <v>2.6457513110646685E-2</v>
      </c>
      <c r="Z54" s="1" t="e">
        <v>#DIV/0!</v>
      </c>
      <c r="AA54" s="1" t="e">
        <v>#DIV/0!</v>
      </c>
      <c r="AB54" s="3">
        <v>25.9</v>
      </c>
      <c r="AC54" s="3">
        <v>28.1</v>
      </c>
      <c r="AD54" s="3">
        <v>28.2</v>
      </c>
      <c r="AE54" s="87">
        <f t="shared" ref="AE54:AE57" si="66">AVERAGE(AB54:AD54)</f>
        <v>27.400000000000002</v>
      </c>
      <c r="AF54" s="1">
        <f t="shared" si="36"/>
        <v>1.3000000000000009</v>
      </c>
      <c r="AG54" s="92">
        <v>0.56999999999999995</v>
      </c>
      <c r="AH54" s="92">
        <v>0.52</v>
      </c>
      <c r="AI54" s="92">
        <v>0.52</v>
      </c>
      <c r="AJ54" s="82">
        <f t="shared" ref="AJ54:AJ57" si="67">AVERAGE(AG54:AI54)</f>
        <v>0.53666666666666663</v>
      </c>
      <c r="AK54" s="91">
        <f t="shared" ref="AK54:AK57" si="68">_xlfn.STDEV.S(AG54:AI54)</f>
        <v>2.8867513459481253E-2</v>
      </c>
      <c r="AL54" s="103">
        <v>45990</v>
      </c>
      <c r="AM54" s="3" t="s">
        <v>53</v>
      </c>
      <c r="AN54" s="96"/>
    </row>
    <row r="55" spans="6:40">
      <c r="F55" s="14" t="s">
        <v>1</v>
      </c>
      <c r="G55" s="2">
        <v>11</v>
      </c>
      <c r="H55" s="2" t="s">
        <v>8</v>
      </c>
      <c r="I55" s="2" t="s">
        <v>11</v>
      </c>
      <c r="J55" s="3">
        <v>2</v>
      </c>
      <c r="K55" s="1">
        <v>53</v>
      </c>
      <c r="L55" s="1" t="s">
        <v>57</v>
      </c>
      <c r="M55" s="3">
        <v>9.89</v>
      </c>
      <c r="N55" s="3">
        <v>9.91</v>
      </c>
      <c r="O55" s="3">
        <v>9.92</v>
      </c>
      <c r="P55" s="1">
        <f t="shared" si="64"/>
        <v>9.9066666666666663</v>
      </c>
      <c r="Q55" s="1">
        <f t="shared" si="65"/>
        <v>1.527525231651914E-2</v>
      </c>
      <c r="R55" s="3">
        <v>19.96</v>
      </c>
      <c r="S55" s="3">
        <v>19.93</v>
      </c>
      <c r="T55" s="3">
        <v>19.91</v>
      </c>
      <c r="U55" s="1">
        <f t="shared" si="52"/>
        <v>19.933333333333334</v>
      </c>
      <c r="V55" s="1">
        <f t="shared" si="53"/>
        <v>2.5166114784236238E-2</v>
      </c>
      <c r="Z55" s="1" t="e">
        <v>#DIV/0!</v>
      </c>
      <c r="AA55" s="1" t="e">
        <v>#DIV/0!</v>
      </c>
      <c r="AB55" s="3">
        <v>25.9</v>
      </c>
      <c r="AC55" s="3">
        <v>28.1</v>
      </c>
      <c r="AD55" s="3">
        <v>28.2</v>
      </c>
      <c r="AE55" s="87">
        <f t="shared" si="66"/>
        <v>27.400000000000002</v>
      </c>
      <c r="AF55" s="1">
        <f t="shared" si="36"/>
        <v>1.3000000000000009</v>
      </c>
      <c r="AG55" s="92">
        <v>0.56999999999999995</v>
      </c>
      <c r="AH55" s="92">
        <v>0.52</v>
      </c>
      <c r="AI55" s="92">
        <v>0.52</v>
      </c>
      <c r="AJ55" s="82">
        <f t="shared" si="67"/>
        <v>0.53666666666666663</v>
      </c>
      <c r="AK55" s="91">
        <f t="shared" si="68"/>
        <v>2.8867513459481253E-2</v>
      </c>
      <c r="AL55" s="103">
        <v>45990</v>
      </c>
      <c r="AM55" s="3" t="s">
        <v>53</v>
      </c>
      <c r="AN55" s="96"/>
    </row>
    <row r="56" spans="6:40">
      <c r="F56" s="14" t="s">
        <v>1</v>
      </c>
      <c r="G56" s="2">
        <v>11</v>
      </c>
      <c r="H56" s="2" t="s">
        <v>8</v>
      </c>
      <c r="I56" s="2" t="s">
        <v>11</v>
      </c>
      <c r="J56" s="3">
        <v>2</v>
      </c>
      <c r="K56" s="1">
        <v>54</v>
      </c>
      <c r="L56" s="1" t="s">
        <v>59</v>
      </c>
      <c r="M56" s="3">
        <v>9.89</v>
      </c>
      <c r="N56" s="3">
        <v>9.9</v>
      </c>
      <c r="O56" s="3">
        <v>9.9</v>
      </c>
      <c r="P56" s="1">
        <f t="shared" si="64"/>
        <v>9.8966666666666665</v>
      </c>
      <c r="Q56" s="1">
        <f t="shared" si="65"/>
        <v>5.7735026918961348E-3</v>
      </c>
      <c r="R56" s="3">
        <v>19.920000000000002</v>
      </c>
      <c r="S56" s="3">
        <v>19.93</v>
      </c>
      <c r="T56" s="3">
        <v>19.920000000000002</v>
      </c>
      <c r="U56" s="1">
        <f t="shared" si="52"/>
        <v>19.923333333333336</v>
      </c>
      <c r="V56" s="1">
        <f t="shared" si="53"/>
        <v>5.7735026918951087E-3</v>
      </c>
      <c r="Z56" s="1" t="e">
        <v>#DIV/0!</v>
      </c>
      <c r="AA56" s="1" t="e">
        <v>#DIV/0!</v>
      </c>
      <c r="AB56" s="3">
        <v>25.9</v>
      </c>
      <c r="AC56" s="3">
        <v>28.1</v>
      </c>
      <c r="AD56" s="3">
        <v>28.2</v>
      </c>
      <c r="AE56" s="87">
        <f t="shared" si="66"/>
        <v>27.400000000000002</v>
      </c>
      <c r="AF56" s="1">
        <f t="shared" si="36"/>
        <v>1.3000000000000009</v>
      </c>
      <c r="AG56" s="92">
        <v>0.56999999999999995</v>
      </c>
      <c r="AH56" s="92">
        <v>0.52</v>
      </c>
      <c r="AI56" s="92">
        <v>0.52</v>
      </c>
      <c r="AJ56" s="82">
        <f t="shared" si="67"/>
        <v>0.53666666666666663</v>
      </c>
      <c r="AK56" s="91">
        <f t="shared" si="68"/>
        <v>2.8867513459481253E-2</v>
      </c>
      <c r="AL56" s="103">
        <v>45990</v>
      </c>
      <c r="AM56" s="3" t="s">
        <v>53</v>
      </c>
      <c r="AN56" s="96"/>
    </row>
    <row r="57" spans="6:40" ht="15.75" thickBot="1">
      <c r="F57" s="14" t="s">
        <v>1</v>
      </c>
      <c r="G57" s="2">
        <v>11</v>
      </c>
      <c r="H57" s="2" t="s">
        <v>8</v>
      </c>
      <c r="I57" s="2" t="s">
        <v>11</v>
      </c>
      <c r="J57" s="3">
        <v>2</v>
      </c>
      <c r="K57" s="1">
        <v>55</v>
      </c>
      <c r="L57" s="1" t="s">
        <v>60</v>
      </c>
      <c r="M57" s="3">
        <v>9.8699999999999992</v>
      </c>
      <c r="N57" s="3">
        <v>9.8800000000000008</v>
      </c>
      <c r="O57" s="3">
        <v>9.9</v>
      </c>
      <c r="P57" s="1">
        <f t="shared" si="64"/>
        <v>9.8833333333333329</v>
      </c>
      <c r="Q57" s="1">
        <f t="shared" si="65"/>
        <v>1.5275252316519917E-2</v>
      </c>
      <c r="R57" s="21">
        <v>19.91</v>
      </c>
      <c r="S57" s="21">
        <v>19.89</v>
      </c>
      <c r="T57" s="21">
        <v>19.940000000000001</v>
      </c>
      <c r="U57" s="1">
        <f t="shared" si="52"/>
        <v>19.91333333333333</v>
      </c>
      <c r="V57" s="1">
        <f t="shared" si="53"/>
        <v>2.5166114784236235E-2</v>
      </c>
      <c r="W57" s="21"/>
      <c r="X57" s="21"/>
      <c r="Y57" s="21"/>
      <c r="Z57" s="1" t="e">
        <v>#DIV/0!</v>
      </c>
      <c r="AA57" s="1" t="e">
        <v>#DIV/0!</v>
      </c>
      <c r="AB57" s="3">
        <v>25.9</v>
      </c>
      <c r="AC57" s="3">
        <v>28.1</v>
      </c>
      <c r="AD57" s="3">
        <v>28.2</v>
      </c>
      <c r="AE57" s="87">
        <f t="shared" si="66"/>
        <v>27.400000000000002</v>
      </c>
      <c r="AF57" s="1">
        <f t="shared" si="36"/>
        <v>1.3000000000000009</v>
      </c>
      <c r="AG57" s="92">
        <v>0.56999999999999995</v>
      </c>
      <c r="AH57" s="92">
        <v>0.52</v>
      </c>
      <c r="AI57" s="92">
        <v>0.52</v>
      </c>
      <c r="AJ57" s="82">
        <f t="shared" si="67"/>
        <v>0.53666666666666663</v>
      </c>
      <c r="AK57" s="91">
        <f t="shared" si="68"/>
        <v>2.8867513459481253E-2</v>
      </c>
      <c r="AL57" s="103">
        <v>45990</v>
      </c>
      <c r="AM57" s="3" t="s">
        <v>53</v>
      </c>
      <c r="AN57" s="96"/>
    </row>
    <row r="58" spans="6:40">
      <c r="F58" s="30" t="s">
        <v>1</v>
      </c>
      <c r="G58" s="32">
        <v>12</v>
      </c>
      <c r="H58" s="32" t="s">
        <v>12</v>
      </c>
      <c r="I58" s="32" t="s">
        <v>11</v>
      </c>
      <c r="J58" s="39">
        <v>2</v>
      </c>
      <c r="K58" s="31">
        <v>56</v>
      </c>
      <c r="L58" s="31" t="s">
        <v>52</v>
      </c>
      <c r="M58" s="39">
        <v>9.91</v>
      </c>
      <c r="N58" s="39">
        <v>9.92</v>
      </c>
      <c r="O58" s="39">
        <v>9.92</v>
      </c>
      <c r="P58" s="31">
        <f>AVERAGE(M58:O58)</f>
        <v>9.9166666666666661</v>
      </c>
      <c r="Q58" s="31">
        <f>_xlfn.STDEV.S(M58:O58)</f>
        <v>5.7735026918961348E-3</v>
      </c>
      <c r="R58" s="39">
        <v>19.95</v>
      </c>
      <c r="S58" s="39">
        <v>19.940000000000001</v>
      </c>
      <c r="T58" s="39">
        <v>20.010000000000002</v>
      </c>
      <c r="U58" s="31">
        <f t="shared" si="52"/>
        <v>19.966666666666669</v>
      </c>
      <c r="V58" s="31">
        <f t="shared" si="53"/>
        <v>3.7859388972002424E-2</v>
      </c>
      <c r="W58" s="39"/>
      <c r="X58" s="39"/>
      <c r="Y58" s="39"/>
      <c r="Z58" s="31" t="e">
        <v>#DIV/0!</v>
      </c>
      <c r="AA58" s="31" t="e">
        <v>#DIV/0!</v>
      </c>
      <c r="AB58" s="39">
        <v>26.6</v>
      </c>
      <c r="AC58" s="39">
        <v>26.8</v>
      </c>
      <c r="AD58" s="39">
        <v>27.8</v>
      </c>
      <c r="AE58" s="85">
        <f>AVERAGE(AB58:AD58)</f>
        <v>27.066666666666666</v>
      </c>
      <c r="AF58" s="31">
        <f t="shared" si="36"/>
        <v>0.64291005073286345</v>
      </c>
      <c r="AG58" s="94">
        <v>0.56999999999999995</v>
      </c>
      <c r="AH58" s="94">
        <v>0.56000000000000005</v>
      </c>
      <c r="AI58" s="94">
        <v>0.54</v>
      </c>
      <c r="AJ58" s="33">
        <f>AVERAGE(AG58:AI58)</f>
        <v>0.55666666666666664</v>
      </c>
      <c r="AK58" s="90">
        <f>_xlfn.STDEV.S(AG58:AI58)</f>
        <v>1.5275252316519432E-2</v>
      </c>
      <c r="AL58" s="102">
        <v>45990</v>
      </c>
      <c r="AM58" s="39" t="s">
        <v>53</v>
      </c>
      <c r="AN58" s="95"/>
    </row>
    <row r="59" spans="6:40">
      <c r="F59" s="14" t="s">
        <v>1</v>
      </c>
      <c r="G59" s="2">
        <v>12</v>
      </c>
      <c r="H59" s="2" t="s">
        <v>12</v>
      </c>
      <c r="I59" s="2" t="s">
        <v>11</v>
      </c>
      <c r="J59" s="3">
        <v>2</v>
      </c>
      <c r="K59" s="1">
        <v>57</v>
      </c>
      <c r="L59" s="1" t="s">
        <v>55</v>
      </c>
      <c r="M59" s="3">
        <v>9.91</v>
      </c>
      <c r="N59" s="3">
        <v>9.91</v>
      </c>
      <c r="O59" s="3">
        <v>9.9700000000000006</v>
      </c>
      <c r="P59" s="1">
        <f t="shared" ref="P59:P62" si="69">AVERAGE(M59:O59)</f>
        <v>9.93</v>
      </c>
      <c r="Q59" s="1">
        <f t="shared" ref="Q59:Q62" si="70">_xlfn.STDEV.S(M59:O59)</f>
        <v>3.4641016151377831E-2</v>
      </c>
      <c r="R59" s="3">
        <v>19.989999999999998</v>
      </c>
      <c r="S59" s="3">
        <v>19.93</v>
      </c>
      <c r="T59" s="3">
        <v>19.97</v>
      </c>
      <c r="U59" s="1">
        <f t="shared" si="52"/>
        <v>19.963333333333335</v>
      </c>
      <c r="V59" s="1">
        <f t="shared" si="53"/>
        <v>3.0550504633038281E-2</v>
      </c>
      <c r="Z59" s="1" t="e">
        <v>#DIV/0!</v>
      </c>
      <c r="AA59" s="1" t="e">
        <v>#DIV/0!</v>
      </c>
      <c r="AB59" s="3">
        <v>26.6</v>
      </c>
      <c r="AC59" s="3">
        <v>26.8</v>
      </c>
      <c r="AD59" s="3">
        <v>27.8</v>
      </c>
      <c r="AE59" s="87">
        <f t="shared" ref="AE59:AE62" si="71">AVERAGE(AB59:AD59)</f>
        <v>27.066666666666666</v>
      </c>
      <c r="AF59" s="1">
        <f t="shared" si="36"/>
        <v>0.64291005073286345</v>
      </c>
      <c r="AG59" s="107">
        <v>0.56999999999999995</v>
      </c>
      <c r="AH59" s="107">
        <v>0.56000000000000005</v>
      </c>
      <c r="AI59" s="107">
        <v>0.54</v>
      </c>
      <c r="AJ59" s="82">
        <f t="shared" ref="AJ59:AJ62" si="72">AVERAGE(AG59:AI59)</f>
        <v>0.55666666666666664</v>
      </c>
      <c r="AK59" s="91">
        <f t="shared" ref="AK59:AK62" si="73">_xlfn.STDEV.S(AG59:AI59)</f>
        <v>1.5275252316519432E-2</v>
      </c>
      <c r="AL59" s="103">
        <v>45990</v>
      </c>
      <c r="AM59" s="3" t="s">
        <v>53</v>
      </c>
      <c r="AN59" s="96"/>
    </row>
    <row r="60" spans="6:40">
      <c r="F60" s="14" t="s">
        <v>1</v>
      </c>
      <c r="G60" s="2">
        <v>12</v>
      </c>
      <c r="H60" s="2" t="s">
        <v>12</v>
      </c>
      <c r="I60" s="2" t="s">
        <v>11</v>
      </c>
      <c r="J60" s="3">
        <v>2</v>
      </c>
      <c r="K60" s="1">
        <v>58</v>
      </c>
      <c r="L60" s="1" t="s">
        <v>57</v>
      </c>
      <c r="M60" s="3">
        <v>9.99</v>
      </c>
      <c r="N60" s="3">
        <v>9.94</v>
      </c>
      <c r="O60" s="3">
        <v>9.92</v>
      </c>
      <c r="P60" s="1">
        <f t="shared" si="69"/>
        <v>9.9500000000000011</v>
      </c>
      <c r="Q60" s="1">
        <f t="shared" si="70"/>
        <v>3.6055512754640105E-2</v>
      </c>
      <c r="R60" s="3">
        <v>19.93</v>
      </c>
      <c r="S60" s="3">
        <v>19.95</v>
      </c>
      <c r="T60" s="3">
        <v>19.920000000000002</v>
      </c>
      <c r="U60" s="1">
        <f t="shared" si="52"/>
        <v>19.933333333333334</v>
      </c>
      <c r="V60" s="1">
        <f t="shared" si="53"/>
        <v>1.5275252316518365E-2</v>
      </c>
      <c r="Z60" s="1" t="e">
        <v>#DIV/0!</v>
      </c>
      <c r="AA60" s="1" t="e">
        <v>#DIV/0!</v>
      </c>
      <c r="AB60" s="3">
        <v>26.6</v>
      </c>
      <c r="AC60" s="3">
        <v>26.8</v>
      </c>
      <c r="AD60" s="3">
        <v>27.8</v>
      </c>
      <c r="AE60" s="87">
        <f t="shared" si="71"/>
        <v>27.066666666666666</v>
      </c>
      <c r="AF60" s="1">
        <f t="shared" ref="AF60:AF62" si="74">_xlfn.STDEV.S(AB60:AD60)</f>
        <v>0.64291005073286345</v>
      </c>
      <c r="AG60" s="107">
        <v>0.56999999999999995</v>
      </c>
      <c r="AH60" s="107">
        <v>0.56000000000000005</v>
      </c>
      <c r="AI60" s="107">
        <v>0.54</v>
      </c>
      <c r="AJ60" s="82">
        <f t="shared" si="72"/>
        <v>0.55666666666666664</v>
      </c>
      <c r="AK60" s="91">
        <f t="shared" si="73"/>
        <v>1.5275252316519432E-2</v>
      </c>
      <c r="AL60" s="103">
        <v>45990</v>
      </c>
      <c r="AM60" s="3" t="s">
        <v>53</v>
      </c>
      <c r="AN60" s="96"/>
    </row>
    <row r="61" spans="6:40">
      <c r="F61" s="14" t="s">
        <v>1</v>
      </c>
      <c r="G61" s="2">
        <v>12</v>
      </c>
      <c r="H61" s="2" t="s">
        <v>12</v>
      </c>
      <c r="I61" s="2" t="s">
        <v>11</v>
      </c>
      <c r="J61" s="3">
        <v>2</v>
      </c>
      <c r="K61" s="1">
        <v>59</v>
      </c>
      <c r="L61" s="1" t="s">
        <v>59</v>
      </c>
      <c r="M61" s="3">
        <v>9.93</v>
      </c>
      <c r="N61" s="3">
        <v>9.9499999999999993</v>
      </c>
      <c r="O61" s="3">
        <v>9.98</v>
      </c>
      <c r="P61" s="1">
        <f t="shared" si="69"/>
        <v>9.9533333333333331</v>
      </c>
      <c r="Q61" s="1">
        <f t="shared" si="70"/>
        <v>2.5166114784236238E-2</v>
      </c>
      <c r="R61" s="3">
        <v>19.95</v>
      </c>
      <c r="S61" s="3">
        <v>19.97</v>
      </c>
      <c r="T61" s="3">
        <v>20.02</v>
      </c>
      <c r="U61" s="1">
        <f t="shared" si="52"/>
        <v>19.98</v>
      </c>
      <c r="V61" s="1">
        <f t="shared" si="53"/>
        <v>3.6055512754640105E-2</v>
      </c>
      <c r="Z61" s="1" t="e">
        <v>#DIV/0!</v>
      </c>
      <c r="AA61" s="1" t="e">
        <v>#DIV/0!</v>
      </c>
      <c r="AB61" s="3">
        <v>26.6</v>
      </c>
      <c r="AC61" s="3">
        <v>26.8</v>
      </c>
      <c r="AD61" s="3">
        <v>27.8</v>
      </c>
      <c r="AE61" s="87">
        <f t="shared" si="71"/>
        <v>27.066666666666666</v>
      </c>
      <c r="AF61" s="1">
        <f t="shared" si="74"/>
        <v>0.64291005073286345</v>
      </c>
      <c r="AG61" s="107">
        <v>0.56999999999999995</v>
      </c>
      <c r="AH61" s="107">
        <v>0.56000000000000005</v>
      </c>
      <c r="AI61" s="107">
        <v>0.54</v>
      </c>
      <c r="AJ61" s="82">
        <f t="shared" si="72"/>
        <v>0.55666666666666664</v>
      </c>
      <c r="AK61" s="91">
        <f t="shared" si="73"/>
        <v>1.5275252316519432E-2</v>
      </c>
      <c r="AL61" s="103">
        <v>45990</v>
      </c>
      <c r="AM61" s="3" t="s">
        <v>53</v>
      </c>
      <c r="AN61" s="96"/>
    </row>
    <row r="62" spans="6:40" ht="15.75" thickBot="1">
      <c r="F62" s="19" t="s">
        <v>1</v>
      </c>
      <c r="G62" s="20">
        <v>12</v>
      </c>
      <c r="H62" s="20" t="s">
        <v>12</v>
      </c>
      <c r="I62" s="20" t="s">
        <v>11</v>
      </c>
      <c r="J62" s="21">
        <v>2</v>
      </c>
      <c r="K62" s="22">
        <v>60</v>
      </c>
      <c r="L62" s="22" t="s">
        <v>60</v>
      </c>
      <c r="M62" s="21">
        <v>9.94</v>
      </c>
      <c r="N62" s="21">
        <v>9.93</v>
      </c>
      <c r="O62" s="21">
        <v>9.94</v>
      </c>
      <c r="P62" s="22">
        <f t="shared" si="69"/>
        <v>9.9366666666666656</v>
      </c>
      <c r="Q62" s="22">
        <f t="shared" si="70"/>
        <v>5.7735026918961348E-3</v>
      </c>
      <c r="R62" s="21">
        <v>19.96</v>
      </c>
      <c r="S62" s="21">
        <v>19.91</v>
      </c>
      <c r="T62" s="21">
        <v>19.920000000000002</v>
      </c>
      <c r="U62" s="22">
        <f t="shared" si="52"/>
        <v>19.930000000000003</v>
      </c>
      <c r="V62" s="22">
        <f t="shared" si="53"/>
        <v>2.6457513110646012E-2</v>
      </c>
      <c r="W62" s="21"/>
      <c r="X62" s="21"/>
      <c r="Y62" s="21"/>
      <c r="Z62" s="22" t="e">
        <v>#DIV/0!</v>
      </c>
      <c r="AA62" s="22" t="e">
        <v>#DIV/0!</v>
      </c>
      <c r="AB62" s="21">
        <v>26.6</v>
      </c>
      <c r="AC62" s="21">
        <v>26.8</v>
      </c>
      <c r="AD62" s="21">
        <v>27.8</v>
      </c>
      <c r="AE62" s="86">
        <f t="shared" si="71"/>
        <v>27.066666666666666</v>
      </c>
      <c r="AF62" s="22">
        <f t="shared" si="74"/>
        <v>0.64291005073286345</v>
      </c>
      <c r="AG62" s="97">
        <v>0.56999999999999995</v>
      </c>
      <c r="AH62" s="97">
        <v>0.56000000000000005</v>
      </c>
      <c r="AI62" s="97">
        <v>0.54</v>
      </c>
      <c r="AJ62" s="24">
        <f t="shared" si="72"/>
        <v>0.55666666666666664</v>
      </c>
      <c r="AK62" s="108">
        <f t="shared" si="73"/>
        <v>1.5275252316519432E-2</v>
      </c>
      <c r="AL62" s="109">
        <v>45990</v>
      </c>
      <c r="AM62" s="21" t="s">
        <v>53</v>
      </c>
      <c r="AN62" s="98"/>
    </row>
  </sheetData>
  <mergeCells count="1"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BC344-B22D-44A4-8683-03290806BD56}">
  <dimension ref="B2:R38"/>
  <sheetViews>
    <sheetView workbookViewId="0">
      <selection activeCell="F39" sqref="F39"/>
    </sheetView>
  </sheetViews>
  <sheetFormatPr defaultColWidth="11.42578125" defaultRowHeight="15"/>
  <cols>
    <col min="3" max="3" width="18" bestFit="1" customWidth="1"/>
    <col min="4" max="5" width="18" customWidth="1"/>
    <col min="6" max="6" width="30.5703125" customWidth="1"/>
    <col min="7" max="7" width="18" customWidth="1"/>
    <col min="8" max="8" width="17.5703125" customWidth="1"/>
    <col min="9" max="9" width="18" customWidth="1"/>
    <col min="10" max="10" width="16.85546875" customWidth="1"/>
  </cols>
  <sheetData>
    <row r="2" spans="2:18" ht="46.5">
      <c r="B2" s="110" t="s">
        <v>15</v>
      </c>
      <c r="C2" s="111" t="s">
        <v>14</v>
      </c>
      <c r="D2" s="111" t="s">
        <v>4</v>
      </c>
      <c r="E2" s="111" t="s">
        <v>5</v>
      </c>
      <c r="F2" s="64" t="s">
        <v>84</v>
      </c>
      <c r="G2" s="64" t="s">
        <v>7</v>
      </c>
      <c r="H2" s="64" t="s">
        <v>85</v>
      </c>
      <c r="I2" s="64" t="s">
        <v>86</v>
      </c>
      <c r="J2" s="64" t="s">
        <v>87</v>
      </c>
      <c r="K2" s="64" t="s">
        <v>88</v>
      </c>
      <c r="L2" s="64" t="s">
        <v>89</v>
      </c>
      <c r="M2" s="64" t="s">
        <v>90</v>
      </c>
      <c r="N2" s="65" t="s">
        <v>91</v>
      </c>
      <c r="O2" s="79"/>
    </row>
    <row r="3" spans="2:18" ht="16.5">
      <c r="B3" s="104">
        <v>1</v>
      </c>
      <c r="C3" s="105" t="s">
        <v>51</v>
      </c>
      <c r="D3" s="105" t="s">
        <v>8</v>
      </c>
      <c r="E3" s="105" t="s">
        <v>9</v>
      </c>
      <c r="F3" s="105">
        <v>2</v>
      </c>
      <c r="G3" s="105">
        <v>81</v>
      </c>
      <c r="H3" s="105">
        <v>88</v>
      </c>
      <c r="I3" s="105">
        <v>5</v>
      </c>
      <c r="J3" s="105">
        <v>19</v>
      </c>
      <c r="K3" s="105">
        <f>SUM(H3:J3)</f>
        <v>112</v>
      </c>
      <c r="L3" s="105">
        <v>24.47</v>
      </c>
      <c r="M3" s="105">
        <v>8.1999999999999993</v>
      </c>
      <c r="N3" s="106">
        <v>19.73</v>
      </c>
      <c r="O3" s="41"/>
      <c r="Q3" s="76"/>
    </row>
    <row r="4" spans="2:18">
      <c r="B4" s="59">
        <v>2</v>
      </c>
      <c r="C4" s="41" t="s">
        <v>51</v>
      </c>
      <c r="D4" s="41" t="s">
        <v>10</v>
      </c>
      <c r="E4" s="41" t="s">
        <v>11</v>
      </c>
      <c r="F4" s="41">
        <v>2</v>
      </c>
      <c r="G4" s="41">
        <v>17</v>
      </c>
      <c r="H4" s="41">
        <v>23</v>
      </c>
      <c r="I4" s="41">
        <v>5</v>
      </c>
      <c r="J4" s="41">
        <v>15</v>
      </c>
      <c r="K4" s="41">
        <f t="shared" ref="K4:K38" si="0">SUM(H4:J4)</f>
        <v>43</v>
      </c>
      <c r="L4" s="41">
        <v>4.3899999999999997</v>
      </c>
      <c r="M4" s="41">
        <v>1.47</v>
      </c>
      <c r="N4" s="60">
        <v>3.54</v>
      </c>
      <c r="Q4" s="41"/>
    </row>
    <row r="5" spans="2:18">
      <c r="B5" s="59">
        <v>3</v>
      </c>
      <c r="C5" s="41" t="s">
        <v>51</v>
      </c>
      <c r="D5" s="41" t="s">
        <v>12</v>
      </c>
      <c r="E5" s="41" t="s">
        <v>9</v>
      </c>
      <c r="F5" s="41">
        <v>7</v>
      </c>
      <c r="G5" s="41">
        <v>80</v>
      </c>
      <c r="H5" s="41">
        <v>84</v>
      </c>
      <c r="I5" s="41">
        <v>5</v>
      </c>
      <c r="J5" s="41">
        <v>13</v>
      </c>
      <c r="K5" s="41">
        <f t="shared" si="0"/>
        <v>102</v>
      </c>
      <c r="L5" s="41">
        <v>23.31</v>
      </c>
      <c r="M5" s="41">
        <v>7.81</v>
      </c>
      <c r="N5" s="60">
        <v>18.8</v>
      </c>
    </row>
    <row r="6" spans="2:18">
      <c r="B6" s="59">
        <v>4</v>
      </c>
      <c r="C6" s="41" t="s">
        <v>51</v>
      </c>
      <c r="D6" s="41" t="s">
        <v>10</v>
      </c>
      <c r="E6" s="41" t="s">
        <v>9</v>
      </c>
      <c r="F6" s="41">
        <v>7</v>
      </c>
      <c r="G6" s="41">
        <v>79</v>
      </c>
      <c r="H6" s="41">
        <v>83</v>
      </c>
      <c r="I6" s="41">
        <v>5</v>
      </c>
      <c r="J6" s="41">
        <v>12</v>
      </c>
      <c r="K6" s="41">
        <f t="shared" si="0"/>
        <v>100</v>
      </c>
      <c r="L6" s="41">
        <v>23.12</v>
      </c>
      <c r="M6" s="41">
        <v>7.75</v>
      </c>
      <c r="N6" s="60">
        <v>18.649999999999999</v>
      </c>
    </row>
    <row r="7" spans="2:18">
      <c r="B7" s="59">
        <v>5</v>
      </c>
      <c r="C7" s="41" t="s">
        <v>51</v>
      </c>
      <c r="D7" s="41" t="s">
        <v>8</v>
      </c>
      <c r="E7" s="41" t="s">
        <v>9</v>
      </c>
      <c r="F7" s="41">
        <v>2</v>
      </c>
      <c r="G7" s="41">
        <v>81</v>
      </c>
      <c r="H7" s="41">
        <v>85</v>
      </c>
      <c r="I7" s="41">
        <v>5</v>
      </c>
      <c r="J7" s="41">
        <v>13</v>
      </c>
      <c r="K7" s="41">
        <f t="shared" si="0"/>
        <v>103</v>
      </c>
      <c r="L7" s="41">
        <v>24.47</v>
      </c>
      <c r="M7" s="41">
        <v>8.1999999999999993</v>
      </c>
      <c r="N7" s="60">
        <v>19.73</v>
      </c>
    </row>
    <row r="8" spans="2:18">
      <c r="B8" s="77">
        <v>6</v>
      </c>
      <c r="C8" s="41" t="s">
        <v>51</v>
      </c>
      <c r="D8" s="41" t="s">
        <v>8</v>
      </c>
      <c r="E8" s="41" t="s">
        <v>11</v>
      </c>
      <c r="F8" s="41">
        <v>3</v>
      </c>
      <c r="G8" s="41">
        <v>51</v>
      </c>
      <c r="H8" s="41">
        <v>55</v>
      </c>
      <c r="I8" s="41">
        <v>5</v>
      </c>
      <c r="J8" s="41">
        <v>12</v>
      </c>
      <c r="K8" s="41">
        <f t="shared" si="0"/>
        <v>72</v>
      </c>
      <c r="L8" s="41">
        <v>6.89</v>
      </c>
      <c r="M8" s="41">
        <v>2.31</v>
      </c>
      <c r="N8" s="60">
        <v>5.56</v>
      </c>
      <c r="Q8" s="41"/>
      <c r="R8" s="41"/>
    </row>
    <row r="9" spans="2:18">
      <c r="B9" s="59">
        <v>7</v>
      </c>
      <c r="C9" s="41" t="s">
        <v>51</v>
      </c>
      <c r="D9" s="41" t="s">
        <v>12</v>
      </c>
      <c r="E9" s="41" t="s">
        <v>11</v>
      </c>
      <c r="F9" s="41">
        <v>2</v>
      </c>
      <c r="G9" s="41">
        <v>17</v>
      </c>
      <c r="H9" s="41">
        <v>22</v>
      </c>
      <c r="I9" s="41">
        <v>5</v>
      </c>
      <c r="J9" s="41">
        <v>11</v>
      </c>
      <c r="K9" s="41">
        <f t="shared" si="0"/>
        <v>38</v>
      </c>
      <c r="L9" s="41">
        <v>4.4400000000000004</v>
      </c>
      <c r="M9" s="41">
        <v>1.49</v>
      </c>
      <c r="N9" s="60">
        <v>3.58</v>
      </c>
    </row>
    <row r="10" spans="2:18" ht="16.5">
      <c r="B10" s="59">
        <v>8</v>
      </c>
      <c r="C10" s="41" t="s">
        <v>51</v>
      </c>
      <c r="D10" s="41" t="s">
        <v>10</v>
      </c>
      <c r="E10" s="41" t="s">
        <v>11</v>
      </c>
      <c r="F10" s="41">
        <v>2</v>
      </c>
      <c r="G10" s="41">
        <v>17</v>
      </c>
      <c r="H10" s="41">
        <v>22</v>
      </c>
      <c r="I10" s="41">
        <v>5</v>
      </c>
      <c r="J10" s="41">
        <v>10</v>
      </c>
      <c r="K10" s="41">
        <f t="shared" si="0"/>
        <v>37</v>
      </c>
      <c r="L10" s="41">
        <v>4.3899999999999997</v>
      </c>
      <c r="M10" s="41">
        <v>1.47</v>
      </c>
      <c r="N10" s="60">
        <v>3.54</v>
      </c>
      <c r="P10" s="76"/>
    </row>
    <row r="11" spans="2:18" ht="16.5">
      <c r="B11" s="59">
        <v>9</v>
      </c>
      <c r="C11" s="41" t="s">
        <v>51</v>
      </c>
      <c r="D11" s="41" t="s">
        <v>12</v>
      </c>
      <c r="E11" s="41" t="s">
        <v>9</v>
      </c>
      <c r="F11" s="41">
        <v>7</v>
      </c>
      <c r="G11" s="41">
        <v>80</v>
      </c>
      <c r="H11" s="41">
        <v>84</v>
      </c>
      <c r="I11" s="41">
        <v>5</v>
      </c>
      <c r="J11" s="41">
        <v>10</v>
      </c>
      <c r="K11" s="41">
        <f t="shared" si="0"/>
        <v>99</v>
      </c>
      <c r="L11" s="41">
        <v>23.31</v>
      </c>
      <c r="M11" s="41">
        <v>7.81</v>
      </c>
      <c r="N11" s="60">
        <v>18.8</v>
      </c>
      <c r="P11" s="76"/>
    </row>
    <row r="12" spans="2:18" ht="16.5">
      <c r="B12" s="59">
        <v>10</v>
      </c>
      <c r="C12" s="41" t="s">
        <v>51</v>
      </c>
      <c r="D12" s="41" t="s">
        <v>10</v>
      </c>
      <c r="E12" s="41" t="s">
        <v>9</v>
      </c>
      <c r="F12" s="41">
        <v>7</v>
      </c>
      <c r="G12" s="41">
        <v>79</v>
      </c>
      <c r="H12" s="41">
        <v>83</v>
      </c>
      <c r="I12" s="41">
        <v>5</v>
      </c>
      <c r="J12" s="41">
        <v>10</v>
      </c>
      <c r="K12" s="41">
        <f t="shared" si="0"/>
        <v>98</v>
      </c>
      <c r="L12" s="41">
        <v>23.12</v>
      </c>
      <c r="M12" s="41">
        <v>7.75</v>
      </c>
      <c r="N12" s="60">
        <v>18.649999999999999</v>
      </c>
      <c r="P12" s="76"/>
    </row>
    <row r="13" spans="2:18">
      <c r="B13" s="77">
        <v>11</v>
      </c>
      <c r="C13" s="41" t="s">
        <v>51</v>
      </c>
      <c r="D13" s="41" t="s">
        <v>8</v>
      </c>
      <c r="E13" s="41" t="s">
        <v>11</v>
      </c>
      <c r="F13" s="41">
        <v>3</v>
      </c>
      <c r="G13" s="41">
        <v>51</v>
      </c>
      <c r="H13" s="41">
        <v>55</v>
      </c>
      <c r="I13" s="41">
        <v>5</v>
      </c>
      <c r="J13" s="41">
        <v>10</v>
      </c>
      <c r="K13" s="41">
        <f t="shared" si="0"/>
        <v>70</v>
      </c>
      <c r="L13" s="41">
        <v>6.89</v>
      </c>
      <c r="M13" s="41">
        <v>2.31</v>
      </c>
      <c r="N13" s="60">
        <v>5.56</v>
      </c>
    </row>
    <row r="14" spans="2:18">
      <c r="B14" s="61">
        <v>12</v>
      </c>
      <c r="C14" s="62" t="s">
        <v>51</v>
      </c>
      <c r="D14" s="62" t="s">
        <v>12</v>
      </c>
      <c r="E14" s="62" t="s">
        <v>11</v>
      </c>
      <c r="F14" s="62">
        <v>2</v>
      </c>
      <c r="G14" s="62">
        <v>17</v>
      </c>
      <c r="H14" s="62">
        <v>22</v>
      </c>
      <c r="I14" s="62">
        <v>5</v>
      </c>
      <c r="J14" s="62">
        <v>10</v>
      </c>
      <c r="K14" s="62">
        <f t="shared" si="0"/>
        <v>37</v>
      </c>
      <c r="L14" s="62">
        <v>4.4400000000000004</v>
      </c>
      <c r="M14" s="62">
        <v>1.49</v>
      </c>
      <c r="N14" s="63">
        <v>3.58</v>
      </c>
    </row>
    <row r="15" spans="2:18">
      <c r="B15" s="104">
        <v>1</v>
      </c>
      <c r="C15" s="105" t="s">
        <v>72</v>
      </c>
      <c r="D15" s="105" t="s">
        <v>8</v>
      </c>
      <c r="E15" s="105" t="s">
        <v>9</v>
      </c>
      <c r="F15" s="105"/>
      <c r="G15" s="105"/>
      <c r="H15" s="105"/>
      <c r="I15" s="105"/>
      <c r="J15" s="105"/>
      <c r="K15" s="105">
        <f t="shared" si="0"/>
        <v>0</v>
      </c>
      <c r="L15" s="105"/>
      <c r="M15" s="105"/>
      <c r="N15" s="106"/>
    </row>
    <row r="16" spans="2:18">
      <c r="B16" s="59">
        <v>2</v>
      </c>
      <c r="C16" s="41" t="s">
        <v>72</v>
      </c>
      <c r="D16" s="41" t="s">
        <v>10</v>
      </c>
      <c r="E16" s="41" t="s">
        <v>11</v>
      </c>
      <c r="F16" s="41"/>
      <c r="G16" s="41"/>
      <c r="H16" s="41"/>
      <c r="I16" s="41"/>
      <c r="J16" s="41"/>
      <c r="K16" s="41">
        <f t="shared" si="0"/>
        <v>0</v>
      </c>
      <c r="L16" s="41"/>
      <c r="M16" s="41"/>
      <c r="N16" s="60"/>
    </row>
    <row r="17" spans="2:14">
      <c r="B17" s="59">
        <v>3</v>
      </c>
      <c r="C17" s="41" t="s">
        <v>72</v>
      </c>
      <c r="D17" s="41" t="s">
        <v>12</v>
      </c>
      <c r="E17" s="41" t="s">
        <v>9</v>
      </c>
      <c r="F17" s="41"/>
      <c r="G17" s="41"/>
      <c r="H17" s="41"/>
      <c r="I17" s="41"/>
      <c r="J17" s="41"/>
      <c r="K17" s="41">
        <f t="shared" si="0"/>
        <v>0</v>
      </c>
      <c r="L17" s="41"/>
      <c r="M17" s="41"/>
      <c r="N17" s="60"/>
    </row>
    <row r="18" spans="2:14">
      <c r="B18" s="59">
        <v>4</v>
      </c>
      <c r="C18" s="41" t="s">
        <v>72</v>
      </c>
      <c r="D18" s="41" t="s">
        <v>10</v>
      </c>
      <c r="E18" s="41" t="s">
        <v>9</v>
      </c>
      <c r="F18" s="41"/>
      <c r="G18" s="41"/>
      <c r="H18" s="41"/>
      <c r="I18" s="41"/>
      <c r="J18" s="41"/>
      <c r="K18" s="41">
        <f t="shared" si="0"/>
        <v>0</v>
      </c>
      <c r="L18" s="41"/>
      <c r="M18" s="41"/>
      <c r="N18" s="60"/>
    </row>
    <row r="19" spans="2:14">
      <c r="B19" s="59">
        <v>5</v>
      </c>
      <c r="C19" s="41" t="s">
        <v>72</v>
      </c>
      <c r="D19" s="41" t="s">
        <v>8</v>
      </c>
      <c r="E19" s="41" t="s">
        <v>9</v>
      </c>
      <c r="F19" s="41"/>
      <c r="G19" s="41"/>
      <c r="H19" s="41"/>
      <c r="I19" s="41"/>
      <c r="J19" s="41"/>
      <c r="K19" s="41">
        <f t="shared" si="0"/>
        <v>0</v>
      </c>
      <c r="L19" s="41"/>
      <c r="M19" s="41"/>
      <c r="N19" s="60"/>
    </row>
    <row r="20" spans="2:14">
      <c r="B20" s="59">
        <v>6</v>
      </c>
      <c r="C20" s="41" t="s">
        <v>72</v>
      </c>
      <c r="D20" s="41" t="s">
        <v>8</v>
      </c>
      <c r="E20" s="41" t="s">
        <v>11</v>
      </c>
      <c r="F20" s="41"/>
      <c r="G20" s="41"/>
      <c r="H20" s="41"/>
      <c r="I20" s="41"/>
      <c r="J20" s="41"/>
      <c r="K20" s="41">
        <f t="shared" si="0"/>
        <v>0</v>
      </c>
      <c r="L20" s="41"/>
      <c r="M20" s="41"/>
      <c r="N20" s="60"/>
    </row>
    <row r="21" spans="2:14">
      <c r="B21" s="59">
        <v>7</v>
      </c>
      <c r="C21" s="41" t="s">
        <v>72</v>
      </c>
      <c r="D21" s="41" t="s">
        <v>12</v>
      </c>
      <c r="E21" s="41" t="s">
        <v>11</v>
      </c>
      <c r="F21" s="41"/>
      <c r="G21" s="41"/>
      <c r="H21" s="41"/>
      <c r="I21" s="41"/>
      <c r="J21" s="41"/>
      <c r="K21" s="41">
        <f t="shared" si="0"/>
        <v>0</v>
      </c>
      <c r="L21" s="41"/>
      <c r="M21" s="41"/>
      <c r="N21" s="60"/>
    </row>
    <row r="22" spans="2:14">
      <c r="B22" s="59">
        <v>8</v>
      </c>
      <c r="C22" s="41" t="s">
        <v>72</v>
      </c>
      <c r="D22" s="41" t="s">
        <v>10</v>
      </c>
      <c r="E22" s="41" t="s">
        <v>11</v>
      </c>
      <c r="F22" s="41"/>
      <c r="G22" s="41"/>
      <c r="H22" s="41"/>
      <c r="I22" s="41"/>
      <c r="J22" s="41"/>
      <c r="K22" s="41">
        <f t="shared" si="0"/>
        <v>0</v>
      </c>
      <c r="L22" s="41"/>
      <c r="M22" s="41"/>
      <c r="N22" s="60"/>
    </row>
    <row r="23" spans="2:14">
      <c r="B23" s="59">
        <v>9</v>
      </c>
      <c r="C23" s="41" t="s">
        <v>72</v>
      </c>
      <c r="D23" s="41" t="s">
        <v>12</v>
      </c>
      <c r="E23" s="41" t="s">
        <v>9</v>
      </c>
      <c r="F23" s="41"/>
      <c r="G23" s="41"/>
      <c r="H23" s="41"/>
      <c r="I23" s="41"/>
      <c r="J23" s="41"/>
      <c r="K23" s="41">
        <f t="shared" si="0"/>
        <v>0</v>
      </c>
      <c r="L23" s="41"/>
      <c r="M23" s="41"/>
      <c r="N23" s="60"/>
    </row>
    <row r="24" spans="2:14">
      <c r="B24" s="59">
        <v>10</v>
      </c>
      <c r="C24" s="41" t="s">
        <v>72</v>
      </c>
      <c r="D24" s="41" t="s">
        <v>10</v>
      </c>
      <c r="E24" s="41" t="s">
        <v>9</v>
      </c>
      <c r="F24" s="41"/>
      <c r="G24" s="41"/>
      <c r="H24" s="41"/>
      <c r="I24" s="41"/>
      <c r="J24" s="41"/>
      <c r="K24" s="41">
        <f t="shared" si="0"/>
        <v>0</v>
      </c>
      <c r="L24" s="41"/>
      <c r="M24" s="41"/>
      <c r="N24" s="60"/>
    </row>
    <row r="25" spans="2:14">
      <c r="B25" s="59">
        <v>11</v>
      </c>
      <c r="C25" s="41" t="s">
        <v>72</v>
      </c>
      <c r="D25" s="41" t="s">
        <v>8</v>
      </c>
      <c r="E25" s="41" t="s">
        <v>11</v>
      </c>
      <c r="F25" s="41"/>
      <c r="G25" s="41"/>
      <c r="H25" s="41"/>
      <c r="I25" s="41"/>
      <c r="J25" s="41"/>
      <c r="K25" s="41">
        <f t="shared" si="0"/>
        <v>0</v>
      </c>
      <c r="L25" s="41"/>
      <c r="M25" s="41"/>
      <c r="N25" s="60"/>
    </row>
    <row r="26" spans="2:14">
      <c r="B26" s="61">
        <v>12</v>
      </c>
      <c r="C26" s="62" t="s">
        <v>72</v>
      </c>
      <c r="D26" s="62" t="s">
        <v>12</v>
      </c>
      <c r="E26" s="62" t="s">
        <v>11</v>
      </c>
      <c r="F26" s="62"/>
      <c r="G26" s="62"/>
      <c r="H26" s="62"/>
      <c r="I26" s="62"/>
      <c r="J26" s="62"/>
      <c r="K26" s="62">
        <f t="shared" si="0"/>
        <v>0</v>
      </c>
      <c r="L26" s="62"/>
      <c r="M26" s="62"/>
      <c r="N26" s="63"/>
    </row>
    <row r="27" spans="2:14">
      <c r="B27" s="59">
        <v>1</v>
      </c>
      <c r="C27" s="41" t="s">
        <v>1</v>
      </c>
      <c r="D27" s="41" t="s">
        <v>8</v>
      </c>
      <c r="E27" s="41" t="s">
        <v>9</v>
      </c>
      <c r="F27" s="41">
        <v>3</v>
      </c>
      <c r="G27" s="41">
        <v>90</v>
      </c>
      <c r="H27" s="41">
        <v>94</v>
      </c>
      <c r="I27" s="41">
        <v>5</v>
      </c>
      <c r="J27" s="41">
        <v>8</v>
      </c>
      <c r="K27" s="41">
        <f t="shared" si="0"/>
        <v>107</v>
      </c>
      <c r="L27" s="41">
        <v>31.99</v>
      </c>
      <c r="M27" s="41">
        <v>10.73</v>
      </c>
      <c r="N27" s="60">
        <v>25.8</v>
      </c>
    </row>
    <row r="28" spans="2:14">
      <c r="B28" s="59">
        <v>2</v>
      </c>
      <c r="C28" s="41" t="s">
        <v>1</v>
      </c>
      <c r="D28" s="41" t="s">
        <v>10</v>
      </c>
      <c r="E28" s="41" t="s">
        <v>11</v>
      </c>
      <c r="F28" s="41">
        <v>3</v>
      </c>
      <c r="G28" s="41">
        <v>31</v>
      </c>
      <c r="H28" s="41">
        <v>36</v>
      </c>
      <c r="I28" s="41">
        <v>5</v>
      </c>
      <c r="J28" s="41">
        <v>6</v>
      </c>
      <c r="K28" s="41">
        <f t="shared" si="0"/>
        <v>47</v>
      </c>
      <c r="L28" s="41">
        <v>7.63</v>
      </c>
      <c r="M28" s="41">
        <v>2.56</v>
      </c>
      <c r="N28" s="60">
        <v>6.15</v>
      </c>
    </row>
    <row r="29" spans="2:14">
      <c r="B29" s="59">
        <v>3</v>
      </c>
      <c r="C29" s="41" t="s">
        <v>1</v>
      </c>
      <c r="D29" s="41" t="s">
        <v>12</v>
      </c>
      <c r="E29" s="41" t="s">
        <v>9</v>
      </c>
      <c r="F29" s="41">
        <v>10</v>
      </c>
      <c r="G29" s="41">
        <v>129</v>
      </c>
      <c r="H29" s="41">
        <v>134</v>
      </c>
      <c r="I29" s="41">
        <v>5</v>
      </c>
      <c r="J29" s="41">
        <v>7</v>
      </c>
      <c r="K29" s="41">
        <f t="shared" si="0"/>
        <v>146</v>
      </c>
      <c r="L29" s="41">
        <v>38.799999999999997</v>
      </c>
      <c r="M29" s="41">
        <v>13.01</v>
      </c>
      <c r="N29" s="60">
        <v>31.29</v>
      </c>
    </row>
    <row r="30" spans="2:14">
      <c r="B30" s="59">
        <v>4</v>
      </c>
      <c r="C30" s="41" t="s">
        <v>1</v>
      </c>
      <c r="D30" s="41" t="s">
        <v>10</v>
      </c>
      <c r="E30" s="41" t="s">
        <v>9</v>
      </c>
      <c r="F30" s="41">
        <v>10</v>
      </c>
      <c r="G30" s="41">
        <v>121</v>
      </c>
      <c r="H30" s="41">
        <v>126</v>
      </c>
      <c r="I30" s="41">
        <v>5</v>
      </c>
      <c r="J30" s="41">
        <v>7</v>
      </c>
      <c r="K30" s="41">
        <f t="shared" si="0"/>
        <v>138</v>
      </c>
      <c r="L30" s="41">
        <v>38.26</v>
      </c>
      <c r="M30" s="41">
        <v>12.83</v>
      </c>
      <c r="N30" s="60">
        <v>30.86</v>
      </c>
    </row>
    <row r="31" spans="2:14">
      <c r="B31" s="59">
        <v>5</v>
      </c>
      <c r="C31" s="41" t="s">
        <v>1</v>
      </c>
      <c r="D31" s="41" t="s">
        <v>8</v>
      </c>
      <c r="E31" s="41" t="s">
        <v>9</v>
      </c>
      <c r="F31" s="41">
        <v>3</v>
      </c>
      <c r="G31" s="41">
        <v>90</v>
      </c>
      <c r="H31" s="41">
        <v>95</v>
      </c>
      <c r="I31" s="41">
        <v>5</v>
      </c>
      <c r="J31" s="41">
        <v>8</v>
      </c>
      <c r="K31" s="41">
        <f t="shared" si="0"/>
        <v>108</v>
      </c>
      <c r="L31" s="41">
        <v>31.99</v>
      </c>
      <c r="M31" s="41">
        <v>10.73</v>
      </c>
      <c r="N31" s="60">
        <v>25.8</v>
      </c>
    </row>
    <row r="32" spans="2:14">
      <c r="B32" s="59">
        <v>6</v>
      </c>
      <c r="C32" s="41" t="s">
        <v>1</v>
      </c>
      <c r="D32" s="41" t="s">
        <v>8</v>
      </c>
      <c r="E32" s="41" t="s">
        <v>11</v>
      </c>
      <c r="F32" s="41">
        <v>1</v>
      </c>
      <c r="G32" s="41">
        <v>71</v>
      </c>
      <c r="H32" s="41">
        <v>75</v>
      </c>
      <c r="I32" s="41">
        <v>5</v>
      </c>
      <c r="J32" s="41">
        <v>6</v>
      </c>
      <c r="K32" s="41">
        <f t="shared" si="0"/>
        <v>86</v>
      </c>
      <c r="L32" s="41">
        <v>9.91</v>
      </c>
      <c r="M32" s="41">
        <v>3.32</v>
      </c>
      <c r="N32" s="60">
        <v>7.99</v>
      </c>
    </row>
    <row r="33" spans="2:14">
      <c r="B33" s="59">
        <v>7</v>
      </c>
      <c r="C33" s="41" t="s">
        <v>1</v>
      </c>
      <c r="D33" s="41" t="s">
        <v>12</v>
      </c>
      <c r="E33" s="41" t="s">
        <v>11</v>
      </c>
      <c r="F33" s="41">
        <v>3</v>
      </c>
      <c r="G33" s="41">
        <v>30</v>
      </c>
      <c r="H33" s="41">
        <v>34</v>
      </c>
      <c r="I33" s="41">
        <v>5</v>
      </c>
      <c r="J33" s="41">
        <v>6</v>
      </c>
      <c r="K33" s="41">
        <f t="shared" si="0"/>
        <v>45</v>
      </c>
      <c r="L33" s="41">
        <v>7.21</v>
      </c>
      <c r="M33" s="41">
        <v>2.42</v>
      </c>
      <c r="N33" s="60">
        <v>5.82</v>
      </c>
    </row>
    <row r="34" spans="2:14">
      <c r="B34" s="59">
        <v>8</v>
      </c>
      <c r="C34" s="41" t="s">
        <v>1</v>
      </c>
      <c r="D34" s="41" t="s">
        <v>10</v>
      </c>
      <c r="E34" s="41" t="s">
        <v>11</v>
      </c>
      <c r="F34" s="41">
        <v>8</v>
      </c>
      <c r="G34" s="41">
        <v>31</v>
      </c>
      <c r="H34" s="41">
        <v>36</v>
      </c>
      <c r="I34" s="41">
        <v>5</v>
      </c>
      <c r="J34" s="41">
        <v>6</v>
      </c>
      <c r="K34" s="41">
        <f t="shared" si="0"/>
        <v>47</v>
      </c>
      <c r="L34" s="41">
        <v>7.63</v>
      </c>
      <c r="M34" s="41">
        <v>2.56</v>
      </c>
      <c r="N34" s="60">
        <v>6.15</v>
      </c>
    </row>
    <row r="35" spans="2:14">
      <c r="B35" s="59">
        <v>9</v>
      </c>
      <c r="C35" s="41" t="s">
        <v>1</v>
      </c>
      <c r="D35" s="41" t="s">
        <v>12</v>
      </c>
      <c r="E35" s="41" t="s">
        <v>9</v>
      </c>
      <c r="F35" s="41">
        <v>10</v>
      </c>
      <c r="G35" s="41">
        <v>129</v>
      </c>
      <c r="H35" s="41">
        <v>134</v>
      </c>
      <c r="I35" s="41">
        <v>5</v>
      </c>
      <c r="J35" s="41">
        <v>7</v>
      </c>
      <c r="K35" s="41">
        <f t="shared" si="0"/>
        <v>146</v>
      </c>
      <c r="L35" s="41">
        <v>38.799999999999997</v>
      </c>
      <c r="M35" s="41">
        <v>13.01</v>
      </c>
      <c r="N35" s="60">
        <v>31.29</v>
      </c>
    </row>
    <row r="36" spans="2:14">
      <c r="B36" s="59">
        <v>10</v>
      </c>
      <c r="C36" s="41" t="s">
        <v>1</v>
      </c>
      <c r="D36" s="41" t="s">
        <v>10</v>
      </c>
      <c r="E36" s="41" t="s">
        <v>9</v>
      </c>
      <c r="F36" s="41">
        <v>10</v>
      </c>
      <c r="G36" s="41">
        <v>121</v>
      </c>
      <c r="H36" s="41">
        <v>126</v>
      </c>
      <c r="I36" s="41">
        <v>5</v>
      </c>
      <c r="J36" s="41">
        <v>6</v>
      </c>
      <c r="K36" s="41">
        <f t="shared" si="0"/>
        <v>137</v>
      </c>
      <c r="L36" s="41">
        <v>38.26</v>
      </c>
      <c r="M36" s="41">
        <v>12.83</v>
      </c>
      <c r="N36" s="60">
        <v>30.86</v>
      </c>
    </row>
    <row r="37" spans="2:14">
      <c r="B37" s="59">
        <v>11</v>
      </c>
      <c r="C37" s="41" t="s">
        <v>1</v>
      </c>
      <c r="D37" s="41" t="s">
        <v>8</v>
      </c>
      <c r="E37" s="41" t="s">
        <v>11</v>
      </c>
      <c r="F37" s="41">
        <v>1</v>
      </c>
      <c r="G37" s="41">
        <v>71</v>
      </c>
      <c r="H37" s="41">
        <v>75</v>
      </c>
      <c r="I37" s="41">
        <v>5</v>
      </c>
      <c r="J37" s="41">
        <v>7</v>
      </c>
      <c r="K37" s="41">
        <f t="shared" si="0"/>
        <v>87</v>
      </c>
      <c r="L37" s="41">
        <v>9.91</v>
      </c>
      <c r="M37" s="41">
        <v>3.32</v>
      </c>
      <c r="N37" s="60">
        <v>7.99</v>
      </c>
    </row>
    <row r="38" spans="2:14">
      <c r="B38" s="61">
        <v>12</v>
      </c>
      <c r="C38" s="62" t="s">
        <v>1</v>
      </c>
      <c r="D38" s="62" t="s">
        <v>12</v>
      </c>
      <c r="E38" s="62" t="s">
        <v>11</v>
      </c>
      <c r="F38" s="62">
        <v>3</v>
      </c>
      <c r="G38" s="62">
        <v>30</v>
      </c>
      <c r="H38" s="62">
        <v>34</v>
      </c>
      <c r="I38" s="62">
        <v>5</v>
      </c>
      <c r="J38" s="62">
        <v>7</v>
      </c>
      <c r="K38" s="62">
        <f t="shared" si="0"/>
        <v>46</v>
      </c>
      <c r="L38" s="62">
        <v>7.21</v>
      </c>
      <c r="M38" s="62">
        <v>2.42</v>
      </c>
      <c r="N38" s="63">
        <v>5.82</v>
      </c>
    </row>
  </sheetData>
  <pageMargins left="0.7" right="0.7" top="0.75" bottom="0.75" header="0.3" footer="0.3"/>
  <ignoredErrors>
    <ignoredError sqref="K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Cui Ting Zhong Xie</dc:creator>
  <cp:keywords/>
  <dc:description/>
  <cp:lastModifiedBy/>
  <cp:revision/>
  <dcterms:created xsi:type="dcterms:W3CDTF">2025-10-25T06:29:54Z</dcterms:created>
  <dcterms:modified xsi:type="dcterms:W3CDTF">2026-01-02T04:13:22Z</dcterms:modified>
  <cp:category/>
  <cp:contentStatus/>
</cp:coreProperties>
</file>