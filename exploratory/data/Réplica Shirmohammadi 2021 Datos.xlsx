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https://d.docs.live.net/b48497752f77df29/University/TEC/PI Engineering Licenciate/Uni Semesters/IX Semestre 2026 TFG/Experimentos/Réplica artículo Optimization Shirmohammadi 2021/"/>
    </mc:Choice>
  </mc:AlternateContent>
  <xr:revisionPtr revIDLastSave="2393" documentId="11_AD4D2F04E46CFB4ACB3E20BC4593D192693EDF1A" xr6:coauthVersionLast="47" xr6:coauthVersionMax="47" xr10:uidLastSave="{D8D2065F-B091-45CB-B56A-4B6AC4C38464}"/>
  <bookViews>
    <workbookView xWindow="-28920" yWindow="-60" windowWidth="29040" windowHeight="15720" xr2:uid="{00000000-000D-0000-FFFF-FFFF00000000}"/>
  </bookViews>
  <sheets>
    <sheet name="Mediciones de variables" sheetId="1" r:id="rId1"/>
    <sheet name="Soluciones de Optimizador de Re" sheetId="3" r:id="rId2"/>
    <sheet name="Datos a utilizar en Minitab" sheetId="5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R50" i="1" l="1"/>
  <c r="BU7" i="1"/>
  <c r="BV50" i="1"/>
  <c r="BW50" i="1"/>
  <c r="BX50" i="1"/>
  <c r="BI50" i="5"/>
  <c r="BJ50" i="5"/>
  <c r="BK50" i="5"/>
  <c r="BL50" i="5"/>
  <c r="BM50" i="5"/>
  <c r="BI51" i="5"/>
  <c r="BJ51" i="5"/>
  <c r="BK51" i="5"/>
  <c r="BL51" i="5"/>
  <c r="BM51" i="5"/>
  <c r="BH51" i="5"/>
  <c r="BH50" i="5"/>
  <c r="N7" i="1"/>
  <c r="P7" i="1" s="1"/>
  <c r="N7" i="5"/>
  <c r="BS49" i="5"/>
  <c r="BN49" i="5"/>
  <c r="BM49" i="5"/>
  <c r="BI49" i="5"/>
  <c r="BH49" i="5"/>
  <c r="BD49" i="5"/>
  <c r="BC49" i="5"/>
  <c r="AZ49" i="5"/>
  <c r="AY49" i="5"/>
  <c r="AV49" i="5"/>
  <c r="AU49" i="5"/>
  <c r="AR49" i="5"/>
  <c r="AQ49" i="5"/>
  <c r="AN49" i="5"/>
  <c r="AM49" i="5"/>
  <c r="AJ49" i="5"/>
  <c r="AI49" i="5"/>
  <c r="AF49" i="5"/>
  <c r="AD49" i="5"/>
  <c r="AB49" i="5"/>
  <c r="Z49" i="5"/>
  <c r="Y49" i="5"/>
  <c r="X49" i="5"/>
  <c r="T49" i="5"/>
  <c r="S49" i="5"/>
  <c r="R49" i="5"/>
  <c r="N49" i="5"/>
  <c r="M49" i="5"/>
  <c r="L49" i="5"/>
  <c r="BS48" i="5"/>
  <c r="BN48" i="5"/>
  <c r="BM48" i="5"/>
  <c r="BI48" i="5"/>
  <c r="BH48" i="5"/>
  <c r="BD48" i="5"/>
  <c r="BC48" i="5"/>
  <c r="AZ48" i="5"/>
  <c r="AY48" i="5"/>
  <c r="AV48" i="5"/>
  <c r="AU48" i="5"/>
  <c r="AR48" i="5"/>
  <c r="AQ48" i="5"/>
  <c r="AN48" i="5"/>
  <c r="AM48" i="5"/>
  <c r="AJ48" i="5"/>
  <c r="AI48" i="5"/>
  <c r="AF48" i="5"/>
  <c r="AD48" i="5"/>
  <c r="AB48" i="5"/>
  <c r="Y48" i="5"/>
  <c r="X48" i="5"/>
  <c r="Z48" i="5" s="1"/>
  <c r="S48" i="5"/>
  <c r="R48" i="5"/>
  <c r="T48" i="5" s="1"/>
  <c r="M48" i="5"/>
  <c r="L48" i="5"/>
  <c r="N48" i="5" s="1"/>
  <c r="BS47" i="5"/>
  <c r="BN47" i="5"/>
  <c r="BM47" i="5"/>
  <c r="BI47" i="5"/>
  <c r="BH47" i="5"/>
  <c r="BD47" i="5"/>
  <c r="BC47" i="5"/>
  <c r="AZ47" i="5"/>
  <c r="AY47" i="5"/>
  <c r="AV47" i="5"/>
  <c r="AU47" i="5"/>
  <c r="AR47" i="5"/>
  <c r="AQ47" i="5"/>
  <c r="AN47" i="5"/>
  <c r="AM47" i="5"/>
  <c r="AJ47" i="5"/>
  <c r="AI47" i="5"/>
  <c r="AF47" i="5"/>
  <c r="AD47" i="5"/>
  <c r="AB47" i="5"/>
  <c r="Z47" i="5"/>
  <c r="Y47" i="5"/>
  <c r="X47" i="5"/>
  <c r="T47" i="5"/>
  <c r="S47" i="5"/>
  <c r="R47" i="5"/>
  <c r="N47" i="5"/>
  <c r="M47" i="5"/>
  <c r="L47" i="5"/>
  <c r="BS46" i="5"/>
  <c r="BN46" i="5"/>
  <c r="BM46" i="5"/>
  <c r="BI46" i="5"/>
  <c r="BH46" i="5"/>
  <c r="BD46" i="5"/>
  <c r="BC46" i="5"/>
  <c r="AV46" i="5"/>
  <c r="AU46" i="5"/>
  <c r="AN46" i="5"/>
  <c r="AM46" i="5"/>
  <c r="AJ46" i="5"/>
  <c r="AI46" i="5"/>
  <c r="AF46" i="5"/>
  <c r="AD46" i="5"/>
  <c r="AB46" i="5"/>
  <c r="Z46" i="5"/>
  <c r="Y46" i="5"/>
  <c r="X46" i="5"/>
  <c r="T46" i="5"/>
  <c r="S46" i="5"/>
  <c r="R46" i="5"/>
  <c r="N46" i="5"/>
  <c r="M46" i="5"/>
  <c r="L46" i="5"/>
  <c r="BS45" i="5"/>
  <c r="BN45" i="5"/>
  <c r="BM45" i="5"/>
  <c r="BI45" i="5"/>
  <c r="BH45" i="5"/>
  <c r="BD45" i="5"/>
  <c r="BC45" i="5"/>
  <c r="AZ45" i="5"/>
  <c r="AY45" i="5"/>
  <c r="AV45" i="5"/>
  <c r="AU45" i="5"/>
  <c r="AR45" i="5"/>
  <c r="AQ45" i="5"/>
  <c r="AN45" i="5"/>
  <c r="AM45" i="5"/>
  <c r="AJ45" i="5"/>
  <c r="AI45" i="5"/>
  <c r="AF45" i="5"/>
  <c r="AD45" i="5"/>
  <c r="AB45" i="5"/>
  <c r="Y45" i="5"/>
  <c r="X45" i="5"/>
  <c r="Z45" i="5" s="1"/>
  <c r="T45" i="5"/>
  <c r="S45" i="5"/>
  <c r="R45" i="5"/>
  <c r="M45" i="5"/>
  <c r="L45" i="5"/>
  <c r="N45" i="5" s="1"/>
  <c r="BS44" i="5"/>
  <c r="BN44" i="5"/>
  <c r="BM44" i="5"/>
  <c r="BI44" i="5"/>
  <c r="BH44" i="5"/>
  <c r="BD44" i="5"/>
  <c r="BC44" i="5"/>
  <c r="AV44" i="5"/>
  <c r="AU44" i="5"/>
  <c r="AN44" i="5"/>
  <c r="AM44" i="5"/>
  <c r="AF44" i="5"/>
  <c r="AD44" i="5"/>
  <c r="AB44" i="5"/>
  <c r="Y44" i="5"/>
  <c r="X44" i="5"/>
  <c r="Z44" i="5" s="1"/>
  <c r="T44" i="5"/>
  <c r="S44" i="5"/>
  <c r="R44" i="5"/>
  <c r="M44" i="5"/>
  <c r="L44" i="5"/>
  <c r="N44" i="5" s="1"/>
  <c r="BS43" i="5"/>
  <c r="BN43" i="5"/>
  <c r="BM43" i="5"/>
  <c r="BI43" i="5"/>
  <c r="BH43" i="5"/>
  <c r="BD43" i="5"/>
  <c r="BC43" i="5"/>
  <c r="AZ43" i="5"/>
  <c r="AY43" i="5"/>
  <c r="AV43" i="5"/>
  <c r="AU43" i="5"/>
  <c r="AR43" i="5"/>
  <c r="AQ43" i="5"/>
  <c r="AN43" i="5"/>
  <c r="AM43" i="5"/>
  <c r="AJ43" i="5"/>
  <c r="AI43" i="5"/>
  <c r="AF43" i="5"/>
  <c r="AD43" i="5"/>
  <c r="AB43" i="5"/>
  <c r="Y43" i="5"/>
  <c r="X43" i="5"/>
  <c r="Z43" i="5" s="1"/>
  <c r="T43" i="5"/>
  <c r="S43" i="5"/>
  <c r="R43" i="5"/>
  <c r="N43" i="5"/>
  <c r="M43" i="5"/>
  <c r="L43" i="5"/>
  <c r="BS42" i="5"/>
  <c r="BN42" i="5"/>
  <c r="BM42" i="5"/>
  <c r="BI42" i="5"/>
  <c r="BH42" i="5"/>
  <c r="BD42" i="5"/>
  <c r="BC42" i="5"/>
  <c r="AZ42" i="5"/>
  <c r="AY42" i="5"/>
  <c r="AV42" i="5"/>
  <c r="AU42" i="5"/>
  <c r="AR42" i="5"/>
  <c r="AQ42" i="5"/>
  <c r="AN42" i="5"/>
  <c r="AM42" i="5"/>
  <c r="AJ42" i="5"/>
  <c r="AI42" i="5"/>
  <c r="AF42" i="5"/>
  <c r="AD42" i="5"/>
  <c r="AB42" i="5"/>
  <c r="Y42" i="5"/>
  <c r="X42" i="5"/>
  <c r="Z42" i="5" s="1"/>
  <c r="S42" i="5"/>
  <c r="R42" i="5"/>
  <c r="T42" i="5" s="1"/>
  <c r="N42" i="5"/>
  <c r="M42" i="5"/>
  <c r="L42" i="5"/>
  <c r="BS41" i="5"/>
  <c r="BN41" i="5"/>
  <c r="BM41" i="5"/>
  <c r="BI41" i="5"/>
  <c r="BH41" i="5"/>
  <c r="BD41" i="5"/>
  <c r="BC41" i="5"/>
  <c r="AZ41" i="5"/>
  <c r="AY41" i="5"/>
  <c r="AV41" i="5"/>
  <c r="AU41" i="5"/>
  <c r="AR41" i="5"/>
  <c r="AQ41" i="5"/>
  <c r="AN41" i="5"/>
  <c r="AM41" i="5"/>
  <c r="AJ41" i="5"/>
  <c r="AI41" i="5"/>
  <c r="AF41" i="5"/>
  <c r="AD41" i="5"/>
  <c r="AB41" i="5"/>
  <c r="Z41" i="5"/>
  <c r="Y41" i="5"/>
  <c r="X41" i="5"/>
  <c r="S41" i="5"/>
  <c r="R41" i="5"/>
  <c r="T41" i="5" s="1"/>
  <c r="M41" i="5"/>
  <c r="L41" i="5"/>
  <c r="N41" i="5" s="1"/>
  <c r="BS40" i="5"/>
  <c r="BN40" i="5"/>
  <c r="BM40" i="5"/>
  <c r="BI40" i="5"/>
  <c r="BH40" i="5"/>
  <c r="BD40" i="5"/>
  <c r="BC40" i="5"/>
  <c r="AZ40" i="5"/>
  <c r="AY40" i="5"/>
  <c r="AV40" i="5"/>
  <c r="AU40" i="5"/>
  <c r="AR40" i="5"/>
  <c r="AQ40" i="5"/>
  <c r="AN40" i="5"/>
  <c r="AM40" i="5"/>
  <c r="AJ40" i="5"/>
  <c r="AI40" i="5"/>
  <c r="AF40" i="5"/>
  <c r="AD40" i="5"/>
  <c r="AB40" i="5"/>
  <c r="Y40" i="5"/>
  <c r="X40" i="5"/>
  <c r="Z40" i="5" s="1"/>
  <c r="T40" i="5"/>
  <c r="S40" i="5"/>
  <c r="R40" i="5"/>
  <c r="M40" i="5"/>
  <c r="L40" i="5"/>
  <c r="N40" i="5" s="1"/>
  <c r="BS39" i="5"/>
  <c r="BN39" i="5"/>
  <c r="BM39" i="5"/>
  <c r="BI39" i="5"/>
  <c r="BH39" i="5"/>
  <c r="BD39" i="5"/>
  <c r="BC39" i="5"/>
  <c r="AZ39" i="5"/>
  <c r="AY39" i="5"/>
  <c r="AV39" i="5"/>
  <c r="AU39" i="5"/>
  <c r="AR39" i="5"/>
  <c r="AQ39" i="5"/>
  <c r="AN39" i="5"/>
  <c r="AM39" i="5"/>
  <c r="AJ39" i="5"/>
  <c r="AI39" i="5"/>
  <c r="AF39" i="5"/>
  <c r="AD39" i="5"/>
  <c r="AB39" i="5"/>
  <c r="Y39" i="5"/>
  <c r="X39" i="5"/>
  <c r="Z39" i="5" s="1"/>
  <c r="S39" i="5"/>
  <c r="R39" i="5"/>
  <c r="T39" i="5" s="1"/>
  <c r="N39" i="5"/>
  <c r="M39" i="5"/>
  <c r="L39" i="5"/>
  <c r="BS38" i="5"/>
  <c r="BN38" i="5"/>
  <c r="BM38" i="5"/>
  <c r="BI38" i="5"/>
  <c r="BH38" i="5"/>
  <c r="BD38" i="5"/>
  <c r="BC38" i="5"/>
  <c r="AZ38" i="5"/>
  <c r="AY38" i="5"/>
  <c r="AV38" i="5"/>
  <c r="AU38" i="5"/>
  <c r="AR38" i="5"/>
  <c r="AQ38" i="5"/>
  <c r="AN38" i="5"/>
  <c r="AM38" i="5"/>
  <c r="AJ38" i="5"/>
  <c r="AI38" i="5"/>
  <c r="AF38" i="5"/>
  <c r="AD38" i="5"/>
  <c r="AB38" i="5"/>
  <c r="Z38" i="5"/>
  <c r="Y38" i="5"/>
  <c r="X38" i="5"/>
  <c r="S38" i="5"/>
  <c r="R38" i="5"/>
  <c r="T38" i="5" s="1"/>
  <c r="M38" i="5"/>
  <c r="L38" i="5"/>
  <c r="N38" i="5" s="1"/>
  <c r="BS37" i="5"/>
  <c r="BN37" i="5"/>
  <c r="BM37" i="5"/>
  <c r="BI37" i="5"/>
  <c r="BH37" i="5"/>
  <c r="BD37" i="5"/>
  <c r="BC37" i="5"/>
  <c r="AZ37" i="5"/>
  <c r="AY37" i="5"/>
  <c r="AV37" i="5"/>
  <c r="AU37" i="5"/>
  <c r="AR37" i="5"/>
  <c r="AQ37" i="5"/>
  <c r="AN37" i="5"/>
  <c r="AM37" i="5"/>
  <c r="AJ37" i="5"/>
  <c r="AI37" i="5"/>
  <c r="AF37" i="5"/>
  <c r="AD37" i="5"/>
  <c r="AB37" i="5"/>
  <c r="Z37" i="5"/>
  <c r="Y37" i="5"/>
  <c r="X37" i="5"/>
  <c r="T37" i="5"/>
  <c r="S37" i="5"/>
  <c r="R37" i="5"/>
  <c r="M37" i="5"/>
  <c r="L37" i="5"/>
  <c r="N37" i="5" s="1"/>
  <c r="BS36" i="5"/>
  <c r="BN36" i="5"/>
  <c r="BM36" i="5"/>
  <c r="BI36" i="5"/>
  <c r="BH36" i="5"/>
  <c r="BD36" i="5"/>
  <c r="BC36" i="5"/>
  <c r="AZ36" i="5"/>
  <c r="AY36" i="5"/>
  <c r="AV36" i="5"/>
  <c r="AU36" i="5"/>
  <c r="AR36" i="5"/>
  <c r="AQ36" i="5"/>
  <c r="AN36" i="5"/>
  <c r="AM36" i="5"/>
  <c r="AJ36" i="5"/>
  <c r="AI36" i="5"/>
  <c r="AF36" i="5"/>
  <c r="AD36" i="5"/>
  <c r="AB36" i="5"/>
  <c r="Z36" i="5"/>
  <c r="Y36" i="5"/>
  <c r="X36" i="5"/>
  <c r="T36" i="5"/>
  <c r="S36" i="5"/>
  <c r="R36" i="5"/>
  <c r="N36" i="5"/>
  <c r="M36" i="5"/>
  <c r="L36" i="5"/>
  <c r="BS35" i="5"/>
  <c r="BN35" i="5"/>
  <c r="BM35" i="5"/>
  <c r="BI35" i="5"/>
  <c r="BH35" i="5"/>
  <c r="BD35" i="5"/>
  <c r="BC35" i="5"/>
  <c r="AZ35" i="5"/>
  <c r="AY35" i="5"/>
  <c r="AV35" i="5"/>
  <c r="AU35" i="5"/>
  <c r="AR35" i="5"/>
  <c r="AQ35" i="5"/>
  <c r="AN35" i="5"/>
  <c r="AM35" i="5"/>
  <c r="AJ35" i="5"/>
  <c r="AI35" i="5"/>
  <c r="AF35" i="5"/>
  <c r="AD35" i="5"/>
  <c r="AB35" i="5"/>
  <c r="Y35" i="5"/>
  <c r="X35" i="5"/>
  <c r="Z35" i="5" s="1"/>
  <c r="T35" i="5"/>
  <c r="S35" i="5"/>
  <c r="R35" i="5"/>
  <c r="N35" i="5"/>
  <c r="M35" i="5"/>
  <c r="L35" i="5"/>
  <c r="BS34" i="5"/>
  <c r="BN34" i="5"/>
  <c r="BM34" i="5"/>
  <c r="BI34" i="5"/>
  <c r="BH34" i="5"/>
  <c r="BD34" i="5"/>
  <c r="BC34" i="5"/>
  <c r="AV34" i="5"/>
  <c r="AU34" i="5"/>
  <c r="AN34" i="5"/>
  <c r="AM34" i="5"/>
  <c r="AF34" i="5"/>
  <c r="AD34" i="5"/>
  <c r="AB34" i="5"/>
  <c r="Y34" i="5"/>
  <c r="X34" i="5"/>
  <c r="Z34" i="5" s="1"/>
  <c r="S34" i="5"/>
  <c r="R34" i="5"/>
  <c r="T34" i="5" s="1"/>
  <c r="N34" i="5"/>
  <c r="M34" i="5"/>
  <c r="L34" i="5"/>
  <c r="BS33" i="5"/>
  <c r="BN33" i="5"/>
  <c r="BM33" i="5"/>
  <c r="BI33" i="5"/>
  <c r="BH33" i="5"/>
  <c r="BD33" i="5"/>
  <c r="BC33" i="5"/>
  <c r="AZ33" i="5"/>
  <c r="AY33" i="5"/>
  <c r="AV33" i="5"/>
  <c r="AU33" i="5"/>
  <c r="AR33" i="5"/>
  <c r="AQ33" i="5"/>
  <c r="AN33" i="5"/>
  <c r="AM33" i="5"/>
  <c r="AJ33" i="5"/>
  <c r="AI33" i="5"/>
  <c r="AF33" i="5"/>
  <c r="AD33" i="5"/>
  <c r="AB33" i="5"/>
  <c r="Z33" i="5"/>
  <c r="Y33" i="5"/>
  <c r="X33" i="5"/>
  <c r="S33" i="5"/>
  <c r="R33" i="5"/>
  <c r="T33" i="5" s="1"/>
  <c r="M33" i="5"/>
  <c r="L33" i="5"/>
  <c r="N33" i="5" s="1"/>
  <c r="BS32" i="5"/>
  <c r="BN32" i="5"/>
  <c r="BM32" i="5"/>
  <c r="BI32" i="5"/>
  <c r="BH32" i="5"/>
  <c r="BD32" i="5"/>
  <c r="BC32" i="5"/>
  <c r="AZ32" i="5"/>
  <c r="AY32" i="5"/>
  <c r="AV32" i="5"/>
  <c r="AU32" i="5"/>
  <c r="AR32" i="5"/>
  <c r="AQ32" i="5"/>
  <c r="AN32" i="5"/>
  <c r="AM32" i="5"/>
  <c r="AJ32" i="5"/>
  <c r="AI32" i="5"/>
  <c r="AF32" i="5"/>
  <c r="AD32" i="5"/>
  <c r="AB32" i="5"/>
  <c r="Y32" i="5"/>
  <c r="X32" i="5"/>
  <c r="Z32" i="5" s="1"/>
  <c r="T32" i="5"/>
  <c r="S32" i="5"/>
  <c r="R32" i="5"/>
  <c r="M32" i="5"/>
  <c r="L32" i="5"/>
  <c r="N32" i="5" s="1"/>
  <c r="BS31" i="5"/>
  <c r="BN31" i="5"/>
  <c r="BM31" i="5"/>
  <c r="BI31" i="5"/>
  <c r="BH31" i="5"/>
  <c r="BD31" i="5"/>
  <c r="BC31" i="5"/>
  <c r="AZ31" i="5"/>
  <c r="AY31" i="5"/>
  <c r="AV31" i="5"/>
  <c r="AU31" i="5"/>
  <c r="AR31" i="5"/>
  <c r="AQ31" i="5"/>
  <c r="AN31" i="5"/>
  <c r="AM31" i="5"/>
  <c r="AJ31" i="5"/>
  <c r="AI31" i="5"/>
  <c r="AF31" i="5"/>
  <c r="AD31" i="5"/>
  <c r="AB31" i="5"/>
  <c r="Y31" i="5"/>
  <c r="X31" i="5"/>
  <c r="Z31" i="5" s="1"/>
  <c r="S31" i="5"/>
  <c r="R31" i="5"/>
  <c r="T31" i="5" s="1"/>
  <c r="N31" i="5"/>
  <c r="M31" i="5"/>
  <c r="L31" i="5"/>
  <c r="BS30" i="5"/>
  <c r="BN30" i="5"/>
  <c r="BM30" i="5"/>
  <c r="BI30" i="5"/>
  <c r="BH30" i="5"/>
  <c r="BD30" i="5"/>
  <c r="BC30" i="5"/>
  <c r="AZ30" i="5"/>
  <c r="AY30" i="5"/>
  <c r="AV30" i="5"/>
  <c r="AU30" i="5"/>
  <c r="AR30" i="5"/>
  <c r="AQ30" i="5"/>
  <c r="AN30" i="5"/>
  <c r="AM30" i="5"/>
  <c r="AJ30" i="5"/>
  <c r="AI30" i="5"/>
  <c r="AF30" i="5"/>
  <c r="AD30" i="5"/>
  <c r="AB30" i="5"/>
  <c r="Z30" i="5"/>
  <c r="Y30" i="5"/>
  <c r="X30" i="5"/>
  <c r="S30" i="5"/>
  <c r="R30" i="5"/>
  <c r="T30" i="5" s="1"/>
  <c r="M30" i="5"/>
  <c r="L30" i="5"/>
  <c r="N30" i="5" s="1"/>
  <c r="BS29" i="5"/>
  <c r="BN29" i="5"/>
  <c r="BM29" i="5"/>
  <c r="BI29" i="5"/>
  <c r="BH29" i="5"/>
  <c r="BD29" i="5"/>
  <c r="BC29" i="5"/>
  <c r="AZ29" i="5"/>
  <c r="AY29" i="5"/>
  <c r="AV29" i="5"/>
  <c r="AU29" i="5"/>
  <c r="AR29" i="5"/>
  <c r="AQ29" i="5"/>
  <c r="AN29" i="5"/>
  <c r="AM29" i="5"/>
  <c r="AJ29" i="5"/>
  <c r="AI29" i="5"/>
  <c r="AF29" i="5"/>
  <c r="AD29" i="5"/>
  <c r="AB29" i="5"/>
  <c r="Y29" i="5"/>
  <c r="X29" i="5"/>
  <c r="Z29" i="5" s="1"/>
  <c r="T29" i="5"/>
  <c r="S29" i="5"/>
  <c r="R29" i="5"/>
  <c r="M29" i="5"/>
  <c r="L29" i="5"/>
  <c r="N29" i="5" s="1"/>
  <c r="BS28" i="5"/>
  <c r="BN28" i="5"/>
  <c r="BM28" i="5"/>
  <c r="BI28" i="5"/>
  <c r="BH28" i="5"/>
  <c r="BD28" i="5"/>
  <c r="BC28" i="5"/>
  <c r="AZ28" i="5"/>
  <c r="AY28" i="5"/>
  <c r="AV28" i="5"/>
  <c r="AU28" i="5"/>
  <c r="AR28" i="5"/>
  <c r="AQ28" i="5"/>
  <c r="AN28" i="5"/>
  <c r="AM28" i="5"/>
  <c r="AJ28" i="5"/>
  <c r="AI28" i="5"/>
  <c r="AF28" i="5"/>
  <c r="AD28" i="5"/>
  <c r="AB28" i="5"/>
  <c r="Z28" i="5"/>
  <c r="Y28" i="5"/>
  <c r="X28" i="5"/>
  <c r="S28" i="5"/>
  <c r="R28" i="5"/>
  <c r="T28" i="5" s="1"/>
  <c r="N28" i="5"/>
  <c r="M28" i="5"/>
  <c r="L28" i="5"/>
  <c r="BS27" i="5"/>
  <c r="BN27" i="5"/>
  <c r="BM27" i="5"/>
  <c r="BI27" i="5"/>
  <c r="BH27" i="5"/>
  <c r="BD27" i="5"/>
  <c r="BC27" i="5"/>
  <c r="AZ27" i="5"/>
  <c r="AY27" i="5"/>
  <c r="AV27" i="5"/>
  <c r="AU27" i="5"/>
  <c r="AR27" i="5"/>
  <c r="AQ27" i="5"/>
  <c r="AN27" i="5"/>
  <c r="AM27" i="5"/>
  <c r="AJ27" i="5"/>
  <c r="AI27" i="5"/>
  <c r="AF27" i="5"/>
  <c r="AD27" i="5"/>
  <c r="AB27" i="5"/>
  <c r="Y27" i="5"/>
  <c r="X27" i="5"/>
  <c r="Z27" i="5" s="1"/>
  <c r="T27" i="5"/>
  <c r="S27" i="5"/>
  <c r="R27" i="5"/>
  <c r="M27" i="5"/>
  <c r="L27" i="5"/>
  <c r="N27" i="5" s="1"/>
  <c r="BS26" i="5"/>
  <c r="BN26" i="5"/>
  <c r="BM26" i="5"/>
  <c r="BI26" i="5"/>
  <c r="BH26" i="5"/>
  <c r="BD26" i="5"/>
  <c r="BC26" i="5"/>
  <c r="AZ26" i="5"/>
  <c r="AY26" i="5"/>
  <c r="AV26" i="5"/>
  <c r="AU26" i="5"/>
  <c r="AR26" i="5"/>
  <c r="AQ26" i="5"/>
  <c r="AN26" i="5"/>
  <c r="AM26" i="5"/>
  <c r="AJ26" i="5"/>
  <c r="AI26" i="5"/>
  <c r="AF26" i="5"/>
  <c r="AD26" i="5"/>
  <c r="AB26" i="5"/>
  <c r="Y26" i="5"/>
  <c r="X26" i="5"/>
  <c r="Z26" i="5" s="1"/>
  <c r="S26" i="5"/>
  <c r="R26" i="5"/>
  <c r="T26" i="5" s="1"/>
  <c r="N26" i="5"/>
  <c r="M26" i="5"/>
  <c r="L26" i="5"/>
  <c r="BS25" i="5"/>
  <c r="BN25" i="5"/>
  <c r="BM25" i="5"/>
  <c r="BI25" i="5"/>
  <c r="BH25" i="5"/>
  <c r="BD25" i="5"/>
  <c r="BC25" i="5"/>
  <c r="AZ25" i="5"/>
  <c r="AY25" i="5"/>
  <c r="AV25" i="5"/>
  <c r="AU25" i="5"/>
  <c r="AR25" i="5"/>
  <c r="AQ25" i="5"/>
  <c r="AN25" i="5"/>
  <c r="AM25" i="5"/>
  <c r="AJ25" i="5"/>
  <c r="AI25" i="5"/>
  <c r="AF25" i="5"/>
  <c r="AD25" i="5"/>
  <c r="AB25" i="5"/>
  <c r="Z25" i="5"/>
  <c r="Y25" i="5"/>
  <c r="X25" i="5"/>
  <c r="S25" i="5"/>
  <c r="R25" i="5"/>
  <c r="T25" i="5" s="1"/>
  <c r="M25" i="5"/>
  <c r="L25" i="5"/>
  <c r="N25" i="5" s="1"/>
  <c r="BS24" i="5"/>
  <c r="BN24" i="5"/>
  <c r="BM24" i="5"/>
  <c r="BI24" i="5"/>
  <c r="BH24" i="5"/>
  <c r="BD24" i="5"/>
  <c r="BC24" i="5"/>
  <c r="AZ24" i="5"/>
  <c r="AY24" i="5"/>
  <c r="AV24" i="5"/>
  <c r="AU24" i="5"/>
  <c r="AR24" i="5"/>
  <c r="AQ24" i="5"/>
  <c r="AN24" i="5"/>
  <c r="AM24" i="5"/>
  <c r="AJ24" i="5"/>
  <c r="AI24" i="5"/>
  <c r="AF24" i="5"/>
  <c r="AD24" i="5"/>
  <c r="AB24" i="5"/>
  <c r="Y24" i="5"/>
  <c r="X24" i="5"/>
  <c r="Z24" i="5" s="1"/>
  <c r="T24" i="5"/>
  <c r="S24" i="5"/>
  <c r="R24" i="5"/>
  <c r="M24" i="5"/>
  <c r="L24" i="5"/>
  <c r="N24" i="5" s="1"/>
  <c r="BS23" i="5"/>
  <c r="BN23" i="5"/>
  <c r="BM23" i="5"/>
  <c r="BI23" i="5"/>
  <c r="BH23" i="5"/>
  <c r="BD23" i="5"/>
  <c r="BC23" i="5"/>
  <c r="AZ23" i="5"/>
  <c r="AY23" i="5"/>
  <c r="AV23" i="5"/>
  <c r="AU23" i="5"/>
  <c r="AR23" i="5"/>
  <c r="AQ23" i="5"/>
  <c r="AN23" i="5"/>
  <c r="AM23" i="5"/>
  <c r="AJ23" i="5"/>
  <c r="AI23" i="5"/>
  <c r="AF23" i="5"/>
  <c r="AD23" i="5"/>
  <c r="AB23" i="5"/>
  <c r="Y23" i="5"/>
  <c r="X23" i="5"/>
  <c r="Z23" i="5" s="1"/>
  <c r="S23" i="5"/>
  <c r="R23" i="5"/>
  <c r="T23" i="5" s="1"/>
  <c r="N23" i="5"/>
  <c r="M23" i="5"/>
  <c r="L23" i="5"/>
  <c r="BS22" i="5"/>
  <c r="BN22" i="5"/>
  <c r="BM22" i="5"/>
  <c r="BI22" i="5"/>
  <c r="BH22" i="5"/>
  <c r="BD22" i="5"/>
  <c r="BC22" i="5"/>
  <c r="AZ22" i="5"/>
  <c r="AY22" i="5"/>
  <c r="AV22" i="5"/>
  <c r="AU22" i="5"/>
  <c r="AR22" i="5"/>
  <c r="AQ22" i="5"/>
  <c r="AN22" i="5"/>
  <c r="AM22" i="5"/>
  <c r="AJ22" i="5"/>
  <c r="AI22" i="5"/>
  <c r="AF22" i="5"/>
  <c r="AD22" i="5"/>
  <c r="AB22" i="5"/>
  <c r="Z22" i="5"/>
  <c r="Y22" i="5"/>
  <c r="X22" i="5"/>
  <c r="S22" i="5"/>
  <c r="R22" i="5"/>
  <c r="T22" i="5" s="1"/>
  <c r="M22" i="5"/>
  <c r="L22" i="5"/>
  <c r="N22" i="5" s="1"/>
  <c r="BS21" i="5"/>
  <c r="BN21" i="5"/>
  <c r="BM21" i="5"/>
  <c r="BI21" i="5"/>
  <c r="BH21" i="5"/>
  <c r="BD21" i="5"/>
  <c r="BC21" i="5"/>
  <c r="AZ21" i="5"/>
  <c r="AY21" i="5"/>
  <c r="AV21" i="5"/>
  <c r="AU21" i="5"/>
  <c r="AR21" i="5"/>
  <c r="AQ21" i="5"/>
  <c r="AN21" i="5"/>
  <c r="AM21" i="5"/>
  <c r="AJ21" i="5"/>
  <c r="AI21" i="5"/>
  <c r="AF21" i="5"/>
  <c r="AD21" i="5"/>
  <c r="AB21" i="5"/>
  <c r="Y21" i="5"/>
  <c r="X21" i="5"/>
  <c r="Z21" i="5" s="1"/>
  <c r="T21" i="5"/>
  <c r="S21" i="5"/>
  <c r="R21" i="5"/>
  <c r="M21" i="5"/>
  <c r="L21" i="5"/>
  <c r="N21" i="5" s="1"/>
  <c r="BS20" i="5"/>
  <c r="BN20" i="5"/>
  <c r="BM20" i="5"/>
  <c r="BI20" i="5"/>
  <c r="BH20" i="5"/>
  <c r="BD20" i="5"/>
  <c r="BC20" i="5"/>
  <c r="AZ20" i="5"/>
  <c r="AY20" i="5"/>
  <c r="AV20" i="5"/>
  <c r="AU20" i="5"/>
  <c r="AR20" i="5"/>
  <c r="AQ20" i="5"/>
  <c r="AN20" i="5"/>
  <c r="AM20" i="5"/>
  <c r="AJ20" i="5"/>
  <c r="AI20" i="5"/>
  <c r="AF20" i="5"/>
  <c r="AD20" i="5"/>
  <c r="AB20" i="5"/>
  <c r="Z20" i="5"/>
  <c r="Y20" i="5"/>
  <c r="X20" i="5"/>
  <c r="S20" i="5"/>
  <c r="R20" i="5"/>
  <c r="T20" i="5" s="1"/>
  <c r="N20" i="5"/>
  <c r="M20" i="5"/>
  <c r="L20" i="5"/>
  <c r="BS19" i="5"/>
  <c r="BN19" i="5"/>
  <c r="BM19" i="5"/>
  <c r="BI19" i="5"/>
  <c r="BH19" i="5"/>
  <c r="BD19" i="5"/>
  <c r="BC19" i="5"/>
  <c r="AZ19" i="5"/>
  <c r="AY19" i="5"/>
  <c r="AV19" i="5"/>
  <c r="AU19" i="5"/>
  <c r="AR19" i="5"/>
  <c r="AQ19" i="5"/>
  <c r="AN19" i="5"/>
  <c r="AM19" i="5"/>
  <c r="AJ19" i="5"/>
  <c r="AI19" i="5"/>
  <c r="AF19" i="5"/>
  <c r="AD19" i="5"/>
  <c r="AB19" i="5"/>
  <c r="Y19" i="5"/>
  <c r="X19" i="5"/>
  <c r="Z19" i="5" s="1"/>
  <c r="T19" i="5"/>
  <c r="S19" i="5"/>
  <c r="R19" i="5"/>
  <c r="M19" i="5"/>
  <c r="L19" i="5"/>
  <c r="N19" i="5" s="1"/>
  <c r="BS18" i="5"/>
  <c r="BN18" i="5"/>
  <c r="BM18" i="5"/>
  <c r="BI18" i="5"/>
  <c r="BH18" i="5"/>
  <c r="BD18" i="5"/>
  <c r="BC18" i="5"/>
  <c r="AZ18" i="5"/>
  <c r="AY18" i="5"/>
  <c r="AV18" i="5"/>
  <c r="AU18" i="5"/>
  <c r="AR18" i="5"/>
  <c r="AQ18" i="5"/>
  <c r="AN18" i="5"/>
  <c r="AM18" i="5"/>
  <c r="AJ18" i="5"/>
  <c r="AI18" i="5"/>
  <c r="AF18" i="5"/>
  <c r="AD18" i="5"/>
  <c r="AB18" i="5"/>
  <c r="Y18" i="5"/>
  <c r="X18" i="5"/>
  <c r="Z18" i="5" s="1"/>
  <c r="S18" i="5"/>
  <c r="R18" i="5"/>
  <c r="T18" i="5" s="1"/>
  <c r="N18" i="5"/>
  <c r="M18" i="5"/>
  <c r="L18" i="5"/>
  <c r="BS17" i="5"/>
  <c r="BN17" i="5"/>
  <c r="BM17" i="5"/>
  <c r="BI17" i="5"/>
  <c r="BH17" i="5"/>
  <c r="BD17" i="5"/>
  <c r="BC17" i="5"/>
  <c r="AZ17" i="5"/>
  <c r="AY17" i="5"/>
  <c r="AV17" i="5"/>
  <c r="AU17" i="5"/>
  <c r="AR17" i="5"/>
  <c r="AQ17" i="5"/>
  <c r="AN17" i="5"/>
  <c r="AM17" i="5"/>
  <c r="AJ17" i="5"/>
  <c r="AI17" i="5"/>
  <c r="AF17" i="5"/>
  <c r="AD17" i="5"/>
  <c r="AB17" i="5"/>
  <c r="Z17" i="5"/>
  <c r="Y17" i="5"/>
  <c r="X17" i="5"/>
  <c r="S17" i="5"/>
  <c r="R17" i="5"/>
  <c r="T17" i="5" s="1"/>
  <c r="M17" i="5"/>
  <c r="L17" i="5"/>
  <c r="N17" i="5" s="1"/>
  <c r="BS16" i="5"/>
  <c r="BN16" i="5"/>
  <c r="BM16" i="5"/>
  <c r="BI16" i="5"/>
  <c r="BH16" i="5"/>
  <c r="BD16" i="5"/>
  <c r="BC16" i="5"/>
  <c r="AZ16" i="5"/>
  <c r="AY16" i="5"/>
  <c r="AV16" i="5"/>
  <c r="AU16" i="5"/>
  <c r="AR16" i="5"/>
  <c r="AQ16" i="5"/>
  <c r="AN16" i="5"/>
  <c r="AM16" i="5"/>
  <c r="AJ16" i="5"/>
  <c r="AI16" i="5"/>
  <c r="AF16" i="5"/>
  <c r="AD16" i="5"/>
  <c r="AB16" i="5"/>
  <c r="Y16" i="5"/>
  <c r="X16" i="5"/>
  <c r="Z16" i="5" s="1"/>
  <c r="T16" i="5"/>
  <c r="S16" i="5"/>
  <c r="R16" i="5"/>
  <c r="M16" i="5"/>
  <c r="L16" i="5"/>
  <c r="N16" i="5" s="1"/>
  <c r="BS15" i="5"/>
  <c r="BN15" i="5"/>
  <c r="BM15" i="5"/>
  <c r="BI15" i="5"/>
  <c r="BH15" i="5"/>
  <c r="BD15" i="5"/>
  <c r="BC15" i="5"/>
  <c r="AZ15" i="5"/>
  <c r="AY15" i="5"/>
  <c r="AV15" i="5"/>
  <c r="AU15" i="5"/>
  <c r="AR15" i="5"/>
  <c r="AQ15" i="5"/>
  <c r="AN15" i="5"/>
  <c r="AM15" i="5"/>
  <c r="AJ15" i="5"/>
  <c r="AI15" i="5"/>
  <c r="AF15" i="5"/>
  <c r="AD15" i="5"/>
  <c r="AB15" i="5"/>
  <c r="Y15" i="5"/>
  <c r="X15" i="5"/>
  <c r="Z15" i="5" s="1"/>
  <c r="S15" i="5"/>
  <c r="R15" i="5"/>
  <c r="T15" i="5" s="1"/>
  <c r="N15" i="5"/>
  <c r="M15" i="5"/>
  <c r="L15" i="5"/>
  <c r="BS14" i="5"/>
  <c r="BN14" i="5"/>
  <c r="BM14" i="5"/>
  <c r="BI14" i="5"/>
  <c r="BH14" i="5"/>
  <c r="BD14" i="5"/>
  <c r="BC14" i="5"/>
  <c r="AZ14" i="5"/>
  <c r="AY14" i="5"/>
  <c r="AV14" i="5"/>
  <c r="AU14" i="5"/>
  <c r="AR14" i="5"/>
  <c r="AQ14" i="5"/>
  <c r="AN14" i="5"/>
  <c r="AM14" i="5"/>
  <c r="AJ14" i="5"/>
  <c r="AI14" i="5"/>
  <c r="AF14" i="5"/>
  <c r="AD14" i="5"/>
  <c r="AB14" i="5"/>
  <c r="Z14" i="5"/>
  <c r="Y14" i="5"/>
  <c r="X14" i="5"/>
  <c r="S14" i="5"/>
  <c r="R14" i="5"/>
  <c r="T14" i="5" s="1"/>
  <c r="M14" i="5"/>
  <c r="L14" i="5"/>
  <c r="N14" i="5" s="1"/>
  <c r="BS13" i="5"/>
  <c r="BN13" i="5"/>
  <c r="BM13" i="5"/>
  <c r="BI13" i="5"/>
  <c r="BH13" i="5"/>
  <c r="BD13" i="5"/>
  <c r="BC13" i="5"/>
  <c r="AZ13" i="5"/>
  <c r="AY13" i="5"/>
  <c r="AV13" i="5"/>
  <c r="AU13" i="5"/>
  <c r="AR13" i="5"/>
  <c r="AQ13" i="5"/>
  <c r="AN13" i="5"/>
  <c r="AM13" i="5"/>
  <c r="AJ13" i="5"/>
  <c r="AI13" i="5"/>
  <c r="AF13" i="5"/>
  <c r="AD13" i="5"/>
  <c r="AB13" i="5"/>
  <c r="Y13" i="5"/>
  <c r="X13" i="5"/>
  <c r="Z13" i="5" s="1"/>
  <c r="T13" i="5"/>
  <c r="S13" i="5"/>
  <c r="R13" i="5"/>
  <c r="M13" i="5"/>
  <c r="L13" i="5"/>
  <c r="N13" i="5" s="1"/>
  <c r="BS12" i="5"/>
  <c r="BN12" i="5"/>
  <c r="BM12" i="5"/>
  <c r="BI12" i="5"/>
  <c r="BH12" i="5"/>
  <c r="BD12" i="5"/>
  <c r="BC12" i="5"/>
  <c r="AZ12" i="5"/>
  <c r="AY12" i="5"/>
  <c r="AV12" i="5"/>
  <c r="AU12" i="5"/>
  <c r="AR12" i="5"/>
  <c r="AQ12" i="5"/>
  <c r="AN12" i="5"/>
  <c r="AM12" i="5"/>
  <c r="AJ12" i="5"/>
  <c r="AI12" i="5"/>
  <c r="AF12" i="5"/>
  <c r="AD12" i="5"/>
  <c r="AB12" i="5"/>
  <c r="Z12" i="5"/>
  <c r="Y12" i="5"/>
  <c r="X12" i="5"/>
  <c r="S12" i="5"/>
  <c r="R12" i="5"/>
  <c r="T12" i="5" s="1"/>
  <c r="N12" i="5"/>
  <c r="M12" i="5"/>
  <c r="L12" i="5"/>
  <c r="BS11" i="5"/>
  <c r="BN11" i="5"/>
  <c r="BM11" i="5"/>
  <c r="BI11" i="5"/>
  <c r="BH11" i="5"/>
  <c r="BD11" i="5"/>
  <c r="BC11" i="5"/>
  <c r="AZ11" i="5"/>
  <c r="AY11" i="5"/>
  <c r="AV11" i="5"/>
  <c r="AU11" i="5"/>
  <c r="AR11" i="5"/>
  <c r="AQ11" i="5"/>
  <c r="AN11" i="5"/>
  <c r="AM11" i="5"/>
  <c r="AJ11" i="5"/>
  <c r="AI11" i="5"/>
  <c r="AF11" i="5"/>
  <c r="AD11" i="5"/>
  <c r="AB11" i="5"/>
  <c r="Y11" i="5"/>
  <c r="X11" i="5"/>
  <c r="Z11" i="5" s="1"/>
  <c r="T11" i="5"/>
  <c r="S11" i="5"/>
  <c r="R11" i="5"/>
  <c r="M11" i="5"/>
  <c r="L11" i="5"/>
  <c r="N11" i="5" s="1"/>
  <c r="BS10" i="5"/>
  <c r="BN10" i="5"/>
  <c r="BM10" i="5"/>
  <c r="BI10" i="5"/>
  <c r="BH10" i="5"/>
  <c r="BD10" i="5"/>
  <c r="BC10" i="5"/>
  <c r="AZ10" i="5"/>
  <c r="AY10" i="5"/>
  <c r="AV10" i="5"/>
  <c r="AU10" i="5"/>
  <c r="AR10" i="5"/>
  <c r="AQ10" i="5"/>
  <c r="AN10" i="5"/>
  <c r="AM10" i="5"/>
  <c r="AJ10" i="5"/>
  <c r="AI10" i="5"/>
  <c r="AF10" i="5"/>
  <c r="AD10" i="5"/>
  <c r="AB10" i="5"/>
  <c r="Y10" i="5"/>
  <c r="X10" i="5"/>
  <c r="Z10" i="5" s="1"/>
  <c r="S10" i="5"/>
  <c r="R10" i="5"/>
  <c r="T10" i="5" s="1"/>
  <c r="N10" i="5"/>
  <c r="M10" i="5"/>
  <c r="L10" i="5"/>
  <c r="BS9" i="5"/>
  <c r="BN9" i="5"/>
  <c r="BM9" i="5"/>
  <c r="BI9" i="5"/>
  <c r="BH9" i="5"/>
  <c r="BD9" i="5"/>
  <c r="BC9" i="5"/>
  <c r="AZ9" i="5"/>
  <c r="AY9" i="5"/>
  <c r="AV9" i="5"/>
  <c r="AU9" i="5"/>
  <c r="AR9" i="5"/>
  <c r="AQ9" i="5"/>
  <c r="AN9" i="5"/>
  <c r="AM9" i="5"/>
  <c r="AJ9" i="5"/>
  <c r="AI9" i="5"/>
  <c r="AF9" i="5"/>
  <c r="AD9" i="5"/>
  <c r="AB9" i="5"/>
  <c r="Z9" i="5"/>
  <c r="Y9" i="5"/>
  <c r="X9" i="5"/>
  <c r="S9" i="5"/>
  <c r="R9" i="5"/>
  <c r="T9" i="5" s="1"/>
  <c r="M9" i="5"/>
  <c r="L9" i="5"/>
  <c r="N9" i="5" s="1"/>
  <c r="BS8" i="5"/>
  <c r="BN8" i="5"/>
  <c r="BM8" i="5"/>
  <c r="BI8" i="5"/>
  <c r="BH8" i="5"/>
  <c r="BD8" i="5"/>
  <c r="BC8" i="5"/>
  <c r="AZ8" i="5"/>
  <c r="AY8" i="5"/>
  <c r="AV8" i="5"/>
  <c r="AU8" i="5"/>
  <c r="AR8" i="5"/>
  <c r="AQ8" i="5"/>
  <c r="AN8" i="5"/>
  <c r="AM8" i="5"/>
  <c r="AJ8" i="5"/>
  <c r="AI8" i="5"/>
  <c r="AF8" i="5"/>
  <c r="AD8" i="5"/>
  <c r="AB8" i="5"/>
  <c r="Y8" i="5"/>
  <c r="X8" i="5"/>
  <c r="Z8" i="5" s="1"/>
  <c r="T8" i="5"/>
  <c r="S8" i="5"/>
  <c r="R8" i="5"/>
  <c r="M8" i="5"/>
  <c r="L8" i="5"/>
  <c r="N8" i="5" s="1"/>
  <c r="BS7" i="5"/>
  <c r="BN7" i="5"/>
  <c r="BM7" i="5"/>
  <c r="BI7" i="5"/>
  <c r="BH7" i="5"/>
  <c r="BD7" i="5"/>
  <c r="BC7" i="5"/>
  <c r="AZ7" i="5"/>
  <c r="AY7" i="5"/>
  <c r="AV7" i="5"/>
  <c r="AU7" i="5"/>
  <c r="AR7" i="5"/>
  <c r="AQ7" i="5"/>
  <c r="AN7" i="5"/>
  <c r="AM7" i="5"/>
  <c r="AJ7" i="5"/>
  <c r="AI7" i="5"/>
  <c r="AF7" i="5"/>
  <c r="AD7" i="5"/>
  <c r="AB7" i="5"/>
  <c r="Y7" i="5"/>
  <c r="X7" i="5"/>
  <c r="Z7" i="5" s="1"/>
  <c r="S7" i="5"/>
  <c r="R7" i="5"/>
  <c r="T7" i="5" s="1"/>
  <c r="M7" i="5"/>
  <c r="L7" i="5"/>
  <c r="BF49" i="1"/>
  <c r="BE49" i="1"/>
  <c r="BF48" i="1"/>
  <c r="BE48" i="1"/>
  <c r="BF47" i="1"/>
  <c r="BE47" i="1"/>
  <c r="BF46" i="1"/>
  <c r="BE46" i="1"/>
  <c r="BF45" i="1"/>
  <c r="BE45" i="1"/>
  <c r="BF44" i="1"/>
  <c r="BE44" i="1"/>
  <c r="BF43" i="1"/>
  <c r="BE43" i="1"/>
  <c r="BF42" i="1"/>
  <c r="BE42" i="1"/>
  <c r="BF41" i="1"/>
  <c r="BE41" i="1"/>
  <c r="BF40" i="1"/>
  <c r="BE40" i="1"/>
  <c r="BF39" i="1"/>
  <c r="BE39" i="1"/>
  <c r="BF38" i="1"/>
  <c r="BE38" i="1"/>
  <c r="BF37" i="1"/>
  <c r="BE37" i="1"/>
  <c r="BF36" i="1"/>
  <c r="BE36" i="1"/>
  <c r="BF35" i="1"/>
  <c r="BE35" i="1"/>
  <c r="BF34" i="1"/>
  <c r="BE34" i="1"/>
  <c r="BF33" i="1"/>
  <c r="BE33" i="1"/>
  <c r="BF32" i="1"/>
  <c r="BE32" i="1"/>
  <c r="BF31" i="1"/>
  <c r="BE31" i="1"/>
  <c r="BF30" i="1"/>
  <c r="BE30" i="1"/>
  <c r="BF29" i="1"/>
  <c r="BE29" i="1"/>
  <c r="BF28" i="1"/>
  <c r="BE28" i="1"/>
  <c r="BF27" i="1"/>
  <c r="BE27" i="1"/>
  <c r="BF26" i="1"/>
  <c r="BE26" i="1"/>
  <c r="BF25" i="1"/>
  <c r="BE25" i="1"/>
  <c r="BF24" i="1"/>
  <c r="BE24" i="1"/>
  <c r="BF23" i="1"/>
  <c r="BE23" i="1"/>
  <c r="BF22" i="1"/>
  <c r="BE22" i="1"/>
  <c r="BF21" i="1"/>
  <c r="BE21" i="1"/>
  <c r="BF20" i="1"/>
  <c r="BE20" i="1"/>
  <c r="BF19" i="1"/>
  <c r="BE19" i="1"/>
  <c r="BF18" i="1"/>
  <c r="BE18" i="1"/>
  <c r="BF17" i="1"/>
  <c r="BE17" i="1"/>
  <c r="BF16" i="1"/>
  <c r="BE16" i="1"/>
  <c r="BF15" i="1"/>
  <c r="BE15" i="1"/>
  <c r="BF14" i="1"/>
  <c r="BE14" i="1"/>
  <c r="BF13" i="1"/>
  <c r="BE13" i="1"/>
  <c r="BF12" i="1"/>
  <c r="BE12" i="1"/>
  <c r="BF11" i="1"/>
  <c r="BE11" i="1"/>
  <c r="BF10" i="1"/>
  <c r="BE10" i="1"/>
  <c r="BF9" i="1"/>
  <c r="BE9" i="1"/>
  <c r="BF8" i="1"/>
  <c r="BE8" i="1"/>
  <c r="BF7" i="1"/>
  <c r="BE7" i="1"/>
  <c r="BB49" i="1"/>
  <c r="BA49" i="1"/>
  <c r="BB48" i="1"/>
  <c r="BA48" i="1"/>
  <c r="BB47" i="1"/>
  <c r="BA47" i="1"/>
  <c r="BB46" i="1"/>
  <c r="BA46" i="1"/>
  <c r="BB45" i="1"/>
  <c r="BA45" i="1"/>
  <c r="BB44" i="1"/>
  <c r="BA44" i="1"/>
  <c r="BB43" i="1"/>
  <c r="BA43" i="1"/>
  <c r="BB42" i="1"/>
  <c r="BA42" i="1"/>
  <c r="BB41" i="1"/>
  <c r="BA41" i="1"/>
  <c r="BB40" i="1"/>
  <c r="BA40" i="1"/>
  <c r="BB39" i="1"/>
  <c r="BA39" i="1"/>
  <c r="BB38" i="1"/>
  <c r="BA38" i="1"/>
  <c r="BB37" i="1"/>
  <c r="BA37" i="1"/>
  <c r="BB36" i="1"/>
  <c r="BA36" i="1"/>
  <c r="BB35" i="1"/>
  <c r="BA35" i="1"/>
  <c r="BB34" i="1"/>
  <c r="BA34" i="1"/>
  <c r="BB33" i="1"/>
  <c r="BA33" i="1"/>
  <c r="BB32" i="1"/>
  <c r="BA32" i="1"/>
  <c r="BB31" i="1"/>
  <c r="BA31" i="1"/>
  <c r="BB30" i="1"/>
  <c r="BA30" i="1"/>
  <c r="BB29" i="1"/>
  <c r="BA29" i="1"/>
  <c r="BB28" i="1"/>
  <c r="BA28" i="1"/>
  <c r="BB27" i="1"/>
  <c r="BA27" i="1"/>
  <c r="BB26" i="1"/>
  <c r="BA26" i="1"/>
  <c r="BB25" i="1"/>
  <c r="BA25" i="1"/>
  <c r="BB24" i="1"/>
  <c r="BA24" i="1"/>
  <c r="BB23" i="1"/>
  <c r="BA23" i="1"/>
  <c r="BB22" i="1"/>
  <c r="BA22" i="1"/>
  <c r="BB21" i="1"/>
  <c r="BA21" i="1"/>
  <c r="BB20" i="1"/>
  <c r="BA20" i="1"/>
  <c r="BB19" i="1"/>
  <c r="BA19" i="1"/>
  <c r="BB18" i="1"/>
  <c r="BA18" i="1"/>
  <c r="BB17" i="1"/>
  <c r="BA17" i="1"/>
  <c r="BB16" i="1"/>
  <c r="BA16" i="1"/>
  <c r="BB15" i="1"/>
  <c r="BA15" i="1"/>
  <c r="BB14" i="1"/>
  <c r="BA14" i="1"/>
  <c r="BB13" i="1"/>
  <c r="BA13" i="1"/>
  <c r="BB12" i="1"/>
  <c r="BA12" i="1"/>
  <c r="BB11" i="1"/>
  <c r="BA11" i="1"/>
  <c r="BB10" i="1"/>
  <c r="BA10" i="1"/>
  <c r="BB9" i="1"/>
  <c r="BA9" i="1"/>
  <c r="BB8" i="1"/>
  <c r="BA8" i="1"/>
  <c r="BB7" i="1"/>
  <c r="BA7" i="1"/>
  <c r="AX49" i="1"/>
  <c r="AW49" i="1"/>
  <c r="AX48" i="1"/>
  <c r="AW48" i="1"/>
  <c r="AX47" i="1"/>
  <c r="AW47" i="1"/>
  <c r="AX46" i="1"/>
  <c r="AW46" i="1"/>
  <c r="AX45" i="1"/>
  <c r="AW45" i="1"/>
  <c r="AX44" i="1"/>
  <c r="AW44" i="1"/>
  <c r="AX43" i="1"/>
  <c r="AW43" i="1"/>
  <c r="AX42" i="1"/>
  <c r="AW42" i="1"/>
  <c r="AX41" i="1"/>
  <c r="AW41" i="1"/>
  <c r="AX40" i="1"/>
  <c r="AW40" i="1"/>
  <c r="AX39" i="1"/>
  <c r="AW39" i="1"/>
  <c r="AX38" i="1"/>
  <c r="AW38" i="1"/>
  <c r="AX37" i="1"/>
  <c r="AW37" i="1"/>
  <c r="AX36" i="1"/>
  <c r="AW36" i="1"/>
  <c r="AX35" i="1"/>
  <c r="AW35" i="1"/>
  <c r="AX34" i="1"/>
  <c r="AW34" i="1"/>
  <c r="AX33" i="1"/>
  <c r="AW33" i="1"/>
  <c r="AX32" i="1"/>
  <c r="AW32" i="1"/>
  <c r="AX31" i="1"/>
  <c r="AW31" i="1"/>
  <c r="AX30" i="1"/>
  <c r="AW30" i="1"/>
  <c r="AX29" i="1"/>
  <c r="AW29" i="1"/>
  <c r="AX28" i="1"/>
  <c r="AW28" i="1"/>
  <c r="AX27" i="1"/>
  <c r="AW27" i="1"/>
  <c r="AX26" i="1"/>
  <c r="AW26" i="1"/>
  <c r="AX25" i="1"/>
  <c r="AW25" i="1"/>
  <c r="AX24" i="1"/>
  <c r="AW24" i="1"/>
  <c r="AX23" i="1"/>
  <c r="AW23" i="1"/>
  <c r="AX22" i="1"/>
  <c r="AW22" i="1"/>
  <c r="AX21" i="1"/>
  <c r="AW21" i="1"/>
  <c r="AX20" i="1"/>
  <c r="AW20" i="1"/>
  <c r="AX19" i="1"/>
  <c r="AW19" i="1"/>
  <c r="AX18" i="1"/>
  <c r="AW18" i="1"/>
  <c r="AX17" i="1"/>
  <c r="AW17" i="1"/>
  <c r="AX16" i="1"/>
  <c r="AW16" i="1"/>
  <c r="AX15" i="1"/>
  <c r="AW15" i="1"/>
  <c r="AX14" i="1"/>
  <c r="AW14" i="1"/>
  <c r="AX13" i="1"/>
  <c r="AW13" i="1"/>
  <c r="AX12" i="1"/>
  <c r="AW12" i="1"/>
  <c r="AX11" i="1"/>
  <c r="AW11" i="1"/>
  <c r="AX10" i="1"/>
  <c r="AW10" i="1"/>
  <c r="AX9" i="1"/>
  <c r="AW9" i="1"/>
  <c r="AX8" i="1"/>
  <c r="AW8" i="1"/>
  <c r="AX7" i="1"/>
  <c r="AW7" i="1"/>
  <c r="AT49" i="1"/>
  <c r="AS49" i="1"/>
  <c r="AT48" i="1"/>
  <c r="AS48" i="1"/>
  <c r="AT47" i="1"/>
  <c r="AS47" i="1"/>
  <c r="AT46" i="1"/>
  <c r="AS46" i="1"/>
  <c r="AT45" i="1"/>
  <c r="AS45" i="1"/>
  <c r="AT44" i="1"/>
  <c r="AS44" i="1"/>
  <c r="AT43" i="1"/>
  <c r="AS43" i="1"/>
  <c r="AT42" i="1"/>
  <c r="AS42" i="1"/>
  <c r="AT41" i="1"/>
  <c r="AS41" i="1"/>
  <c r="AT40" i="1"/>
  <c r="AS40" i="1"/>
  <c r="AT39" i="1"/>
  <c r="AS39" i="1"/>
  <c r="AT38" i="1"/>
  <c r="AS38" i="1"/>
  <c r="AT37" i="1"/>
  <c r="AS37" i="1"/>
  <c r="AT36" i="1"/>
  <c r="AS36" i="1"/>
  <c r="AT35" i="1"/>
  <c r="AS35" i="1"/>
  <c r="AT34" i="1"/>
  <c r="AS34" i="1"/>
  <c r="AT33" i="1"/>
  <c r="AS33" i="1"/>
  <c r="AT32" i="1"/>
  <c r="AS32" i="1"/>
  <c r="AT31" i="1"/>
  <c r="AS31" i="1"/>
  <c r="AT30" i="1"/>
  <c r="AS30" i="1"/>
  <c r="AT29" i="1"/>
  <c r="AS29" i="1"/>
  <c r="AT28" i="1"/>
  <c r="AS28" i="1"/>
  <c r="AT27" i="1"/>
  <c r="AS27" i="1"/>
  <c r="AT26" i="1"/>
  <c r="AS26" i="1"/>
  <c r="AT25" i="1"/>
  <c r="AS25" i="1"/>
  <c r="AT24" i="1"/>
  <c r="AS24" i="1"/>
  <c r="AT23" i="1"/>
  <c r="AS23" i="1"/>
  <c r="AT22" i="1"/>
  <c r="AS22" i="1"/>
  <c r="AT21" i="1"/>
  <c r="AS21" i="1"/>
  <c r="AT20" i="1"/>
  <c r="AS20" i="1"/>
  <c r="AT19" i="1"/>
  <c r="AS19" i="1"/>
  <c r="AT18" i="1"/>
  <c r="AS18" i="1"/>
  <c r="AT17" i="1"/>
  <c r="AS17" i="1"/>
  <c r="AT16" i="1"/>
  <c r="AS16" i="1"/>
  <c r="AT15" i="1"/>
  <c r="AS15" i="1"/>
  <c r="AT14" i="1"/>
  <c r="AS14" i="1"/>
  <c r="AT13" i="1"/>
  <c r="AS13" i="1"/>
  <c r="AT12" i="1"/>
  <c r="AS12" i="1"/>
  <c r="AT11" i="1"/>
  <c r="AS11" i="1"/>
  <c r="AT10" i="1"/>
  <c r="AS10" i="1"/>
  <c r="AT9" i="1"/>
  <c r="AS9" i="1"/>
  <c r="AT8" i="1"/>
  <c r="AS8" i="1"/>
  <c r="AT7" i="1"/>
  <c r="AS7" i="1"/>
  <c r="AP49" i="1"/>
  <c r="AO49" i="1"/>
  <c r="AP48" i="1"/>
  <c r="AO48" i="1"/>
  <c r="AP47" i="1"/>
  <c r="AO47" i="1"/>
  <c r="AP46" i="1"/>
  <c r="AO46" i="1"/>
  <c r="AP45" i="1"/>
  <c r="AO45" i="1"/>
  <c r="AP44" i="1"/>
  <c r="AO44" i="1"/>
  <c r="AP43" i="1"/>
  <c r="AO43" i="1"/>
  <c r="AP42" i="1"/>
  <c r="AO42" i="1"/>
  <c r="AP41" i="1"/>
  <c r="AO41" i="1"/>
  <c r="AP40" i="1"/>
  <c r="AO40" i="1"/>
  <c r="AP39" i="1"/>
  <c r="AO39" i="1"/>
  <c r="AP38" i="1"/>
  <c r="AO38" i="1"/>
  <c r="AP37" i="1"/>
  <c r="AO37" i="1"/>
  <c r="AP36" i="1"/>
  <c r="AO36" i="1"/>
  <c r="AP35" i="1"/>
  <c r="AO35" i="1"/>
  <c r="AP34" i="1"/>
  <c r="AO34" i="1"/>
  <c r="AP33" i="1"/>
  <c r="AO33" i="1"/>
  <c r="AP32" i="1"/>
  <c r="AO32" i="1"/>
  <c r="AP31" i="1"/>
  <c r="AO31" i="1"/>
  <c r="AP30" i="1"/>
  <c r="AO30" i="1"/>
  <c r="AP29" i="1"/>
  <c r="AO29" i="1"/>
  <c r="AP28" i="1"/>
  <c r="AO28" i="1"/>
  <c r="AP27" i="1"/>
  <c r="AO27" i="1"/>
  <c r="AP26" i="1"/>
  <c r="AO26" i="1"/>
  <c r="AP25" i="1"/>
  <c r="AO25" i="1"/>
  <c r="AP24" i="1"/>
  <c r="AO24" i="1"/>
  <c r="AP23" i="1"/>
  <c r="AO23" i="1"/>
  <c r="AP22" i="1"/>
  <c r="AO22" i="1"/>
  <c r="AP21" i="1"/>
  <c r="AO21" i="1"/>
  <c r="AP20" i="1"/>
  <c r="AO20" i="1"/>
  <c r="AP19" i="1"/>
  <c r="AO19" i="1"/>
  <c r="AP18" i="1"/>
  <c r="AO18" i="1"/>
  <c r="AP17" i="1"/>
  <c r="AO17" i="1"/>
  <c r="AP16" i="1"/>
  <c r="AO16" i="1"/>
  <c r="AP15" i="1"/>
  <c r="AO15" i="1"/>
  <c r="AP14" i="1"/>
  <c r="AO14" i="1"/>
  <c r="AP13" i="1"/>
  <c r="AO13" i="1"/>
  <c r="AP12" i="1"/>
  <c r="AO12" i="1"/>
  <c r="AP11" i="1"/>
  <c r="AO11" i="1"/>
  <c r="AP10" i="1"/>
  <c r="AO10" i="1"/>
  <c r="AP9" i="1"/>
  <c r="AO9" i="1"/>
  <c r="AP8" i="1"/>
  <c r="AO8" i="1"/>
  <c r="AP7" i="1"/>
  <c r="AO7" i="1"/>
  <c r="AL49" i="1"/>
  <c r="AL48" i="1"/>
  <c r="AL47" i="1"/>
  <c r="AL46" i="1"/>
  <c r="AL45" i="1"/>
  <c r="AL44" i="1"/>
  <c r="AL43" i="1"/>
  <c r="AL42" i="1"/>
  <c r="AL41" i="1"/>
  <c r="AL40" i="1"/>
  <c r="AL39" i="1"/>
  <c r="AL38" i="1"/>
  <c r="AL37" i="1"/>
  <c r="AL36" i="1"/>
  <c r="AL35" i="1"/>
  <c r="AL34" i="1"/>
  <c r="AL33" i="1"/>
  <c r="AL32" i="1"/>
  <c r="AL31" i="1"/>
  <c r="AL30" i="1"/>
  <c r="AL28" i="1"/>
  <c r="AL27" i="1"/>
  <c r="AL26" i="1"/>
  <c r="AL25" i="1"/>
  <c r="AL24" i="1"/>
  <c r="AL23" i="1"/>
  <c r="AL22" i="1"/>
  <c r="AL21" i="1"/>
  <c r="AL20" i="1"/>
  <c r="AL19" i="1"/>
  <c r="AL18" i="1"/>
  <c r="AL17" i="1"/>
  <c r="AL16" i="1"/>
  <c r="AL15" i="1"/>
  <c r="AL14" i="1"/>
  <c r="AL13" i="1"/>
  <c r="AL12" i="1"/>
  <c r="AL11" i="1"/>
  <c r="AL10" i="1"/>
  <c r="AL9" i="1"/>
  <c r="AL8" i="1"/>
  <c r="AL7" i="1"/>
  <c r="AK49" i="1"/>
  <c r="AK48" i="1"/>
  <c r="AK47" i="1"/>
  <c r="AK46" i="1"/>
  <c r="AK45" i="1"/>
  <c r="AK44" i="1"/>
  <c r="AK43" i="1"/>
  <c r="AK42" i="1"/>
  <c r="AK41" i="1"/>
  <c r="AK40" i="1"/>
  <c r="AK39" i="1"/>
  <c r="AK38" i="1"/>
  <c r="AK37" i="1"/>
  <c r="AK36" i="1"/>
  <c r="AK35" i="1"/>
  <c r="AK34" i="1"/>
  <c r="AK33" i="1"/>
  <c r="AK32" i="1"/>
  <c r="AK31" i="1"/>
  <c r="AK30" i="1"/>
  <c r="AK28" i="1"/>
  <c r="AK27" i="1"/>
  <c r="AK26" i="1"/>
  <c r="AK25" i="1"/>
  <c r="AK24" i="1"/>
  <c r="AK23" i="1"/>
  <c r="AK22" i="1"/>
  <c r="AK21" i="1"/>
  <c r="AK20" i="1"/>
  <c r="AK19" i="1"/>
  <c r="AK18" i="1"/>
  <c r="AK17" i="1"/>
  <c r="AK16" i="1"/>
  <c r="AK15" i="1"/>
  <c r="AK14" i="1"/>
  <c r="AK13" i="1"/>
  <c r="AK12" i="1"/>
  <c r="AK11" i="1"/>
  <c r="AK10" i="1"/>
  <c r="AK9" i="1"/>
  <c r="AK8" i="1"/>
  <c r="AK7" i="1"/>
  <c r="AH49" i="1"/>
  <c r="AH48" i="1"/>
  <c r="AH47" i="1"/>
  <c r="AH46" i="1"/>
  <c r="AH45" i="1"/>
  <c r="AH44" i="1"/>
  <c r="AH43" i="1"/>
  <c r="AH42" i="1"/>
  <c r="AH41" i="1"/>
  <c r="AH40" i="1"/>
  <c r="AH39" i="1"/>
  <c r="AH38" i="1"/>
  <c r="AH37" i="1"/>
  <c r="AH36" i="1"/>
  <c r="AH35" i="1"/>
  <c r="AH34" i="1"/>
  <c r="AH33" i="1"/>
  <c r="AH32" i="1"/>
  <c r="AH31" i="1"/>
  <c r="AH30" i="1"/>
  <c r="AH29" i="1"/>
  <c r="AH28" i="1"/>
  <c r="AH27" i="1"/>
  <c r="AH26" i="1"/>
  <c r="AH25" i="1"/>
  <c r="AH24" i="1"/>
  <c r="AH23" i="1"/>
  <c r="AH22" i="1"/>
  <c r="AH21" i="1"/>
  <c r="AH20" i="1"/>
  <c r="AH19" i="1"/>
  <c r="AH18" i="1"/>
  <c r="AH17" i="1"/>
  <c r="AH16" i="1"/>
  <c r="AH15" i="1"/>
  <c r="AH14" i="1"/>
  <c r="AH13" i="1"/>
  <c r="AH12" i="1"/>
  <c r="AH11" i="1"/>
  <c r="AH10" i="1"/>
  <c r="AH9" i="1"/>
  <c r="AH8" i="1"/>
  <c r="AF49" i="1"/>
  <c r="AF48" i="1"/>
  <c r="AF47" i="1"/>
  <c r="AF46" i="1"/>
  <c r="AF45" i="1"/>
  <c r="AF44" i="1"/>
  <c r="AF43" i="1"/>
  <c r="AF42" i="1"/>
  <c r="AF41" i="1"/>
  <c r="AF40" i="1"/>
  <c r="AF39" i="1"/>
  <c r="AF38" i="1"/>
  <c r="AF37" i="1"/>
  <c r="AF36" i="1"/>
  <c r="AF35" i="1"/>
  <c r="AF34" i="1"/>
  <c r="AF33" i="1"/>
  <c r="AF32" i="1"/>
  <c r="AF31" i="1"/>
  <c r="AF30" i="1"/>
  <c r="AF29" i="1"/>
  <c r="AF28" i="1"/>
  <c r="AF27" i="1"/>
  <c r="AF26" i="1"/>
  <c r="AF25" i="1"/>
  <c r="AF24" i="1"/>
  <c r="AF23" i="1"/>
  <c r="AF22" i="1"/>
  <c r="AF21" i="1"/>
  <c r="AF20" i="1"/>
  <c r="AF19" i="1"/>
  <c r="AF18" i="1"/>
  <c r="AF17" i="1"/>
  <c r="AF16" i="1"/>
  <c r="AF15" i="1"/>
  <c r="AF14" i="1"/>
  <c r="AF13" i="1"/>
  <c r="AF12" i="1"/>
  <c r="AF11" i="1"/>
  <c r="AF10" i="1"/>
  <c r="AF9" i="1"/>
  <c r="AF8" i="1"/>
  <c r="AH7" i="1"/>
  <c r="AF7" i="1"/>
  <c r="AD49" i="1"/>
  <c r="AD48" i="1"/>
  <c r="AD47" i="1"/>
  <c r="AD46" i="1"/>
  <c r="AD45" i="1"/>
  <c r="AD44" i="1"/>
  <c r="AD43" i="1"/>
  <c r="AD42" i="1"/>
  <c r="AD41" i="1"/>
  <c r="AD40" i="1"/>
  <c r="AD39" i="1"/>
  <c r="AD38" i="1"/>
  <c r="AD37" i="1"/>
  <c r="AD36" i="1"/>
  <c r="AD35" i="1"/>
  <c r="AD34" i="1"/>
  <c r="AD33" i="1"/>
  <c r="AD32" i="1"/>
  <c r="AD31" i="1"/>
  <c r="AD30" i="1"/>
  <c r="AD29" i="1"/>
  <c r="AD28" i="1"/>
  <c r="AD27" i="1"/>
  <c r="AD26" i="1"/>
  <c r="AD25" i="1"/>
  <c r="AD24" i="1"/>
  <c r="AD23" i="1"/>
  <c r="AD22" i="1"/>
  <c r="AD21" i="1"/>
  <c r="AD20" i="1"/>
  <c r="AD19" i="1"/>
  <c r="AD18" i="1"/>
  <c r="AD17" i="1"/>
  <c r="AD16" i="1"/>
  <c r="AD15" i="1"/>
  <c r="AD14" i="1"/>
  <c r="AD13" i="1"/>
  <c r="AD12" i="1"/>
  <c r="AD11" i="1"/>
  <c r="AD10" i="1"/>
  <c r="AD9" i="1"/>
  <c r="AD8" i="1"/>
  <c r="AD7" i="1"/>
  <c r="BK48" i="1" l="1"/>
  <c r="BJ22" i="1" l="1"/>
  <c r="BO24" i="1"/>
  <c r="BK25" i="1"/>
  <c r="BJ25" i="1"/>
  <c r="BK24" i="1"/>
  <c r="BJ24" i="1"/>
  <c r="BK23" i="1"/>
  <c r="BJ23" i="1"/>
  <c r="BK22" i="1"/>
  <c r="BK26" i="1"/>
  <c r="D13" i="3"/>
  <c r="E13" i="3"/>
  <c r="F13" i="3"/>
  <c r="G13" i="3"/>
  <c r="H13" i="3"/>
  <c r="I13" i="3"/>
  <c r="C13" i="3"/>
  <c r="AA49" i="1"/>
  <c r="Z49" i="1"/>
  <c r="AB49" i="1" s="1"/>
  <c r="AA48" i="1"/>
  <c r="Z48" i="1"/>
  <c r="AB48" i="1" s="1"/>
  <c r="AA47" i="1"/>
  <c r="Z47" i="1"/>
  <c r="AB47" i="1" s="1"/>
  <c r="AA46" i="1"/>
  <c r="Z46" i="1"/>
  <c r="AB46" i="1" s="1"/>
  <c r="AA45" i="1"/>
  <c r="Z45" i="1"/>
  <c r="AB45" i="1" s="1"/>
  <c r="AA44" i="1"/>
  <c r="Z44" i="1"/>
  <c r="AB44" i="1" s="1"/>
  <c r="AA43" i="1"/>
  <c r="Z43" i="1"/>
  <c r="AB43" i="1" s="1"/>
  <c r="AA42" i="1"/>
  <c r="Z42" i="1"/>
  <c r="AB42" i="1" s="1"/>
  <c r="AA41" i="1"/>
  <c r="Z41" i="1"/>
  <c r="AB41" i="1" s="1"/>
  <c r="AA40" i="1"/>
  <c r="Z40" i="1"/>
  <c r="AB40" i="1" s="1"/>
  <c r="AA39" i="1"/>
  <c r="Z39" i="1"/>
  <c r="AB39" i="1" s="1"/>
  <c r="AA38" i="1"/>
  <c r="Z38" i="1"/>
  <c r="AB38" i="1" s="1"/>
  <c r="AA37" i="1"/>
  <c r="Z37" i="1"/>
  <c r="AB37" i="1" s="1"/>
  <c r="AA36" i="1"/>
  <c r="Z36" i="1"/>
  <c r="AB36" i="1" s="1"/>
  <c r="AA35" i="1"/>
  <c r="Z35" i="1"/>
  <c r="AB35" i="1" s="1"/>
  <c r="AA34" i="1"/>
  <c r="Z34" i="1"/>
  <c r="AB34" i="1" s="1"/>
  <c r="AA33" i="1"/>
  <c r="Z33" i="1"/>
  <c r="AB33" i="1" s="1"/>
  <c r="AA32" i="1"/>
  <c r="Z32" i="1"/>
  <c r="AB32" i="1" s="1"/>
  <c r="AA31" i="1"/>
  <c r="Z31" i="1"/>
  <c r="AB31" i="1" s="1"/>
  <c r="AA30" i="1"/>
  <c r="Z30" i="1"/>
  <c r="AB30" i="1" s="1"/>
  <c r="AA29" i="1"/>
  <c r="Z29" i="1"/>
  <c r="AB29" i="1" s="1"/>
  <c r="AA28" i="1"/>
  <c r="Z28" i="1"/>
  <c r="AB28" i="1" s="1"/>
  <c r="AA27" i="1"/>
  <c r="Z27" i="1"/>
  <c r="AB27" i="1" s="1"/>
  <c r="AA26" i="1"/>
  <c r="Z26" i="1"/>
  <c r="AB26" i="1" s="1"/>
  <c r="AA25" i="1"/>
  <c r="Z25" i="1"/>
  <c r="AB25" i="1" s="1"/>
  <c r="AA24" i="1"/>
  <c r="Z24" i="1"/>
  <c r="AB24" i="1" s="1"/>
  <c r="AA23" i="1"/>
  <c r="Z23" i="1"/>
  <c r="AB23" i="1" s="1"/>
  <c r="AA22" i="1"/>
  <c r="Z22" i="1"/>
  <c r="AB22" i="1" s="1"/>
  <c r="AA21" i="1"/>
  <c r="Z21" i="1"/>
  <c r="AB21" i="1" s="1"/>
  <c r="AA20" i="1"/>
  <c r="Z20" i="1"/>
  <c r="AB20" i="1" s="1"/>
  <c r="AA19" i="1"/>
  <c r="Z19" i="1"/>
  <c r="AB19" i="1" s="1"/>
  <c r="AA18" i="1"/>
  <c r="Z18" i="1"/>
  <c r="AB18" i="1" s="1"/>
  <c r="AA17" i="1"/>
  <c r="Z17" i="1"/>
  <c r="AB17" i="1" s="1"/>
  <c r="AA16" i="1"/>
  <c r="Z16" i="1"/>
  <c r="AB16" i="1" s="1"/>
  <c r="AA15" i="1"/>
  <c r="Z15" i="1"/>
  <c r="AB15" i="1" s="1"/>
  <c r="AA14" i="1"/>
  <c r="Z14" i="1"/>
  <c r="AB14" i="1" s="1"/>
  <c r="AA13" i="1"/>
  <c r="Z13" i="1"/>
  <c r="AB13" i="1" s="1"/>
  <c r="U49" i="1"/>
  <c r="T49" i="1"/>
  <c r="V49" i="1" s="1"/>
  <c r="U48" i="1"/>
  <c r="T48" i="1"/>
  <c r="V48" i="1" s="1"/>
  <c r="U47" i="1"/>
  <c r="T47" i="1"/>
  <c r="V47" i="1" s="1"/>
  <c r="U46" i="1"/>
  <c r="T46" i="1"/>
  <c r="V46" i="1" s="1"/>
  <c r="U45" i="1"/>
  <c r="T45" i="1"/>
  <c r="V45" i="1" s="1"/>
  <c r="U44" i="1"/>
  <c r="T44" i="1"/>
  <c r="V44" i="1" s="1"/>
  <c r="U43" i="1"/>
  <c r="T43" i="1"/>
  <c r="V43" i="1" s="1"/>
  <c r="U42" i="1"/>
  <c r="T42" i="1"/>
  <c r="V42" i="1" s="1"/>
  <c r="U41" i="1"/>
  <c r="T41" i="1"/>
  <c r="V41" i="1" s="1"/>
  <c r="U40" i="1"/>
  <c r="T40" i="1"/>
  <c r="V40" i="1" s="1"/>
  <c r="U39" i="1"/>
  <c r="T39" i="1"/>
  <c r="V39" i="1" s="1"/>
  <c r="U38" i="1"/>
  <c r="T38" i="1"/>
  <c r="V38" i="1" s="1"/>
  <c r="U37" i="1"/>
  <c r="T37" i="1"/>
  <c r="V37" i="1" s="1"/>
  <c r="U36" i="1"/>
  <c r="T36" i="1"/>
  <c r="V36" i="1" s="1"/>
  <c r="U35" i="1"/>
  <c r="T35" i="1"/>
  <c r="V35" i="1" s="1"/>
  <c r="U34" i="1"/>
  <c r="T34" i="1"/>
  <c r="V34" i="1" s="1"/>
  <c r="U33" i="1"/>
  <c r="T33" i="1"/>
  <c r="V33" i="1" s="1"/>
  <c r="U32" i="1"/>
  <c r="T32" i="1"/>
  <c r="V32" i="1" s="1"/>
  <c r="U31" i="1"/>
  <c r="T31" i="1"/>
  <c r="V31" i="1" s="1"/>
  <c r="U30" i="1"/>
  <c r="T30" i="1"/>
  <c r="V30" i="1" s="1"/>
  <c r="U29" i="1"/>
  <c r="T29" i="1"/>
  <c r="V29" i="1" s="1"/>
  <c r="U28" i="1"/>
  <c r="T28" i="1"/>
  <c r="V28" i="1" s="1"/>
  <c r="U27" i="1"/>
  <c r="T27" i="1"/>
  <c r="V27" i="1" s="1"/>
  <c r="U26" i="1"/>
  <c r="T26" i="1"/>
  <c r="V26" i="1" s="1"/>
  <c r="U25" i="1"/>
  <c r="T25" i="1"/>
  <c r="V25" i="1" s="1"/>
  <c r="U24" i="1"/>
  <c r="T24" i="1"/>
  <c r="V24" i="1" s="1"/>
  <c r="U23" i="1"/>
  <c r="T23" i="1"/>
  <c r="V23" i="1" s="1"/>
  <c r="U22" i="1"/>
  <c r="T22" i="1"/>
  <c r="V22" i="1" s="1"/>
  <c r="U21" i="1"/>
  <c r="T21" i="1"/>
  <c r="V21" i="1" s="1"/>
  <c r="U20" i="1"/>
  <c r="T20" i="1"/>
  <c r="V20" i="1" s="1"/>
  <c r="U19" i="1"/>
  <c r="T19" i="1"/>
  <c r="V19" i="1" s="1"/>
  <c r="U18" i="1"/>
  <c r="T18" i="1"/>
  <c r="V18" i="1" s="1"/>
  <c r="U17" i="1"/>
  <c r="T17" i="1"/>
  <c r="V17" i="1" s="1"/>
  <c r="U16" i="1"/>
  <c r="T16" i="1"/>
  <c r="V16" i="1" s="1"/>
  <c r="U15" i="1"/>
  <c r="T15" i="1"/>
  <c r="V15" i="1" s="1"/>
  <c r="U14" i="1"/>
  <c r="T14" i="1"/>
  <c r="V14" i="1" s="1"/>
  <c r="U13" i="1"/>
  <c r="T13" i="1"/>
  <c r="V13" i="1" s="1"/>
  <c r="BU49" i="1"/>
  <c r="BU48" i="1"/>
  <c r="BU47" i="1"/>
  <c r="BU46" i="1"/>
  <c r="BU45" i="1"/>
  <c r="BU44" i="1"/>
  <c r="BU43" i="1"/>
  <c r="BU42" i="1"/>
  <c r="BU41" i="1"/>
  <c r="BU40" i="1"/>
  <c r="BU39" i="1"/>
  <c r="BU38" i="1"/>
  <c r="BU37" i="1"/>
  <c r="BU36" i="1"/>
  <c r="BU35" i="1"/>
  <c r="BU34" i="1"/>
  <c r="BU33" i="1"/>
  <c r="BU32" i="1"/>
  <c r="BU31" i="1"/>
  <c r="BU30" i="1"/>
  <c r="BU29" i="1"/>
  <c r="BU28" i="1"/>
  <c r="BU27" i="1"/>
  <c r="BU26" i="1"/>
  <c r="BU25" i="1"/>
  <c r="BU24" i="1"/>
  <c r="BU23" i="1"/>
  <c r="BU22" i="1"/>
  <c r="BU21" i="1"/>
  <c r="BU20" i="1"/>
  <c r="BU19" i="1"/>
  <c r="BU18" i="1"/>
  <c r="BU17" i="1"/>
  <c r="BU16" i="1"/>
  <c r="BU15" i="1"/>
  <c r="BU14" i="1"/>
  <c r="BU13" i="1"/>
  <c r="BU12" i="1"/>
  <c r="BU11" i="1"/>
  <c r="BU10" i="1"/>
  <c r="BU9" i="1"/>
  <c r="BU8" i="1"/>
  <c r="BU1048576" i="1" l="1"/>
  <c r="O49" i="1"/>
  <c r="N49" i="1"/>
  <c r="P49" i="1" s="1"/>
  <c r="O48" i="1"/>
  <c r="N48" i="1"/>
  <c r="P48" i="1" s="1"/>
  <c r="O47" i="1"/>
  <c r="N47" i="1"/>
  <c r="P47" i="1" s="1"/>
  <c r="O46" i="1"/>
  <c r="N46" i="1"/>
  <c r="P46" i="1" s="1"/>
  <c r="O45" i="1"/>
  <c r="N45" i="1"/>
  <c r="P45" i="1" s="1"/>
  <c r="O44" i="1"/>
  <c r="N44" i="1"/>
  <c r="P44" i="1" s="1"/>
  <c r="O43" i="1"/>
  <c r="N43" i="1"/>
  <c r="P43" i="1" s="1"/>
  <c r="O42" i="1"/>
  <c r="N42" i="1"/>
  <c r="P42" i="1" s="1"/>
  <c r="O41" i="1"/>
  <c r="N41" i="1"/>
  <c r="P41" i="1" s="1"/>
  <c r="O40" i="1"/>
  <c r="N40" i="1"/>
  <c r="P40" i="1" s="1"/>
  <c r="O39" i="1"/>
  <c r="N39" i="1"/>
  <c r="P39" i="1" s="1"/>
  <c r="O38" i="1"/>
  <c r="N38" i="1"/>
  <c r="P38" i="1" s="1"/>
  <c r="O37" i="1"/>
  <c r="N37" i="1"/>
  <c r="P37" i="1" s="1"/>
  <c r="O36" i="1"/>
  <c r="N36" i="1"/>
  <c r="P36" i="1" s="1"/>
  <c r="O35" i="1"/>
  <c r="N35" i="1"/>
  <c r="P35" i="1" s="1"/>
  <c r="O34" i="1"/>
  <c r="N34" i="1"/>
  <c r="P34" i="1" s="1"/>
  <c r="O33" i="1"/>
  <c r="N33" i="1"/>
  <c r="P33" i="1" s="1"/>
  <c r="O32" i="1"/>
  <c r="N32" i="1"/>
  <c r="P32" i="1" s="1"/>
  <c r="O31" i="1"/>
  <c r="N31" i="1"/>
  <c r="P31" i="1" s="1"/>
  <c r="O30" i="1"/>
  <c r="N30" i="1"/>
  <c r="P30" i="1" s="1"/>
  <c r="O29" i="1"/>
  <c r="N29" i="1"/>
  <c r="P29" i="1" s="1"/>
  <c r="O28" i="1"/>
  <c r="N28" i="1"/>
  <c r="P28" i="1" s="1"/>
  <c r="O27" i="1"/>
  <c r="N27" i="1"/>
  <c r="P27" i="1" s="1"/>
  <c r="O26" i="1"/>
  <c r="N26" i="1"/>
  <c r="P26" i="1" s="1"/>
  <c r="O25" i="1"/>
  <c r="N25" i="1"/>
  <c r="P25" i="1" s="1"/>
  <c r="O24" i="1"/>
  <c r="N24" i="1"/>
  <c r="P24" i="1" s="1"/>
  <c r="O23" i="1"/>
  <c r="N23" i="1"/>
  <c r="P23" i="1" s="1"/>
  <c r="O22" i="1"/>
  <c r="N22" i="1"/>
  <c r="P22" i="1" s="1"/>
  <c r="O21" i="1"/>
  <c r="N21" i="1"/>
  <c r="P21" i="1" s="1"/>
  <c r="O20" i="1"/>
  <c r="N20" i="1"/>
  <c r="P20" i="1" s="1"/>
  <c r="O19" i="1"/>
  <c r="N19" i="1"/>
  <c r="P19" i="1" s="1"/>
  <c r="O18" i="1"/>
  <c r="N18" i="1"/>
  <c r="P18" i="1" s="1"/>
  <c r="O17" i="1"/>
  <c r="N17" i="1"/>
  <c r="P17" i="1" s="1"/>
  <c r="O16" i="1"/>
  <c r="N16" i="1"/>
  <c r="P16" i="1" s="1"/>
  <c r="O15" i="1"/>
  <c r="N15" i="1"/>
  <c r="P15" i="1" s="1"/>
  <c r="O14" i="1"/>
  <c r="N14" i="1"/>
  <c r="P14" i="1" s="1"/>
  <c r="O13" i="1"/>
  <c r="N13" i="1"/>
  <c r="P13" i="1" s="1"/>
  <c r="AA12" i="1"/>
  <c r="Z12" i="1"/>
  <c r="AB12" i="1" s="1"/>
  <c r="U12" i="1"/>
  <c r="T12" i="1"/>
  <c r="V12" i="1" s="1"/>
  <c r="O12" i="1"/>
  <c r="N12" i="1"/>
  <c r="P12" i="1" s="1"/>
  <c r="AA11" i="1"/>
  <c r="Z11" i="1"/>
  <c r="AB11" i="1" s="1"/>
  <c r="U11" i="1"/>
  <c r="T11" i="1"/>
  <c r="V11" i="1" s="1"/>
  <c r="O11" i="1"/>
  <c r="N11" i="1"/>
  <c r="P11" i="1" s="1"/>
  <c r="AA10" i="1"/>
  <c r="Z10" i="1"/>
  <c r="AB10" i="1" s="1"/>
  <c r="U10" i="1"/>
  <c r="T10" i="1"/>
  <c r="V10" i="1" s="1"/>
  <c r="O10" i="1"/>
  <c r="N10" i="1"/>
  <c r="P10" i="1" s="1"/>
  <c r="AA9" i="1"/>
  <c r="Z9" i="1"/>
  <c r="AB9" i="1" s="1"/>
  <c r="U9" i="1"/>
  <c r="T9" i="1"/>
  <c r="V9" i="1" s="1"/>
  <c r="O9" i="1"/>
  <c r="N9" i="1"/>
  <c r="P9" i="1" s="1"/>
  <c r="AA8" i="1"/>
  <c r="Z8" i="1"/>
  <c r="AB8" i="1" s="1"/>
  <c r="U8" i="1"/>
  <c r="T8" i="1"/>
  <c r="V8" i="1" s="1"/>
  <c r="O8" i="1"/>
  <c r="N8" i="1"/>
  <c r="P8" i="1" s="1"/>
  <c r="AA7" i="1"/>
  <c r="Z7" i="1"/>
  <c r="AB7" i="1" s="1"/>
  <c r="U7" i="1"/>
  <c r="T7" i="1"/>
  <c r="V7" i="1" s="1"/>
  <c r="O7" i="1"/>
  <c r="BP8" i="1"/>
  <c r="BO8" i="1"/>
  <c r="BP49" i="1"/>
  <c r="BO49" i="1"/>
  <c r="BP48" i="1"/>
  <c r="BO48" i="1"/>
  <c r="BP47" i="1"/>
  <c r="BO47" i="1"/>
  <c r="BP46" i="1"/>
  <c r="BO46" i="1"/>
  <c r="BP45" i="1"/>
  <c r="BO45" i="1"/>
  <c r="BP44" i="1"/>
  <c r="BO44" i="1"/>
  <c r="BP43" i="1"/>
  <c r="BO43" i="1"/>
  <c r="BP42" i="1"/>
  <c r="BO42" i="1"/>
  <c r="BP41" i="1"/>
  <c r="BO41" i="1"/>
  <c r="BP40" i="1"/>
  <c r="BO40" i="1"/>
  <c r="BP39" i="1"/>
  <c r="BO39" i="1"/>
  <c r="BP38" i="1"/>
  <c r="BO38" i="1"/>
  <c r="BP37" i="1"/>
  <c r="BO37" i="1"/>
  <c r="BP36" i="1"/>
  <c r="BO36" i="1"/>
  <c r="BP35" i="1"/>
  <c r="BO35" i="1"/>
  <c r="BP34" i="1"/>
  <c r="BO34" i="1"/>
  <c r="BP33" i="1"/>
  <c r="BO33" i="1"/>
  <c r="BP32" i="1"/>
  <c r="BO32" i="1"/>
  <c r="BP31" i="1"/>
  <c r="BO31" i="1"/>
  <c r="BP30" i="1"/>
  <c r="BO30" i="1"/>
  <c r="BP29" i="1"/>
  <c r="BO29" i="1"/>
  <c r="BP28" i="1"/>
  <c r="BO28" i="1"/>
  <c r="BP27" i="1"/>
  <c r="BO27" i="1"/>
  <c r="BP26" i="1"/>
  <c r="BO26" i="1"/>
  <c r="BP25" i="1"/>
  <c r="BO25" i="1"/>
  <c r="BP24" i="1"/>
  <c r="BP23" i="1"/>
  <c r="BO23" i="1"/>
  <c r="BP22" i="1"/>
  <c r="BO22" i="1"/>
  <c r="BP21" i="1"/>
  <c r="BO21" i="1"/>
  <c r="BP20" i="1"/>
  <c r="BO20" i="1"/>
  <c r="BP19" i="1"/>
  <c r="BO19" i="1"/>
  <c r="BP18" i="1"/>
  <c r="BO18" i="1"/>
  <c r="BP17" i="1"/>
  <c r="BO17" i="1"/>
  <c r="BP16" i="1"/>
  <c r="BO16" i="1"/>
  <c r="BP15" i="1"/>
  <c r="BO15" i="1"/>
  <c r="BP14" i="1"/>
  <c r="BO14" i="1"/>
  <c r="BP13" i="1"/>
  <c r="BO13" i="1"/>
  <c r="BP12" i="1"/>
  <c r="BO12" i="1"/>
  <c r="BP11" i="1"/>
  <c r="BO11" i="1"/>
  <c r="BP10" i="1"/>
  <c r="BO10" i="1"/>
  <c r="BP9" i="1"/>
  <c r="BO9" i="1"/>
  <c r="BP7" i="1"/>
  <c r="BO7" i="1"/>
  <c r="BK49" i="1"/>
  <c r="BK47" i="1"/>
  <c r="BK46" i="1"/>
  <c r="BK45" i="1"/>
  <c r="BK44" i="1"/>
  <c r="BK43" i="1"/>
  <c r="BK42" i="1"/>
  <c r="BK41" i="1"/>
  <c r="BK40" i="1"/>
  <c r="BK39" i="1"/>
  <c r="BK38" i="1"/>
  <c r="BK37" i="1"/>
  <c r="BK36" i="1"/>
  <c r="BK35" i="1"/>
  <c r="BK34" i="1"/>
  <c r="BK33" i="1"/>
  <c r="BK32" i="1"/>
  <c r="BK31" i="1"/>
  <c r="BK30" i="1"/>
  <c r="BK29" i="1"/>
  <c r="BK28" i="1"/>
  <c r="BK27" i="1"/>
  <c r="BK21" i="1"/>
  <c r="BK20" i="1"/>
  <c r="BK19" i="1"/>
  <c r="BK18" i="1"/>
  <c r="BK17" i="1"/>
  <c r="BK16" i="1"/>
  <c r="BK15" i="1"/>
  <c r="BK14" i="1"/>
  <c r="BK13" i="1"/>
  <c r="BK12" i="1"/>
  <c r="BK11" i="1"/>
  <c r="BK10" i="1"/>
  <c r="BK9" i="1"/>
  <c r="BK8" i="1"/>
  <c r="BK7" i="1"/>
  <c r="BJ49" i="1"/>
  <c r="BJ48" i="1"/>
  <c r="BJ47" i="1"/>
  <c r="BJ46" i="1"/>
  <c r="BJ45" i="1"/>
  <c r="BJ44" i="1"/>
  <c r="BJ43" i="1"/>
  <c r="BJ42" i="1"/>
  <c r="BJ41" i="1"/>
  <c r="BJ40" i="1"/>
  <c r="BJ39" i="1"/>
  <c r="BJ38" i="1"/>
  <c r="BJ37" i="1"/>
  <c r="BJ36" i="1"/>
  <c r="BJ35" i="1"/>
  <c r="BJ34" i="1"/>
  <c r="BJ33" i="1"/>
  <c r="BJ32" i="1"/>
  <c r="BJ31" i="1"/>
  <c r="BJ30" i="1"/>
  <c r="BJ29" i="1"/>
  <c r="BJ28" i="1"/>
  <c r="BJ27" i="1"/>
  <c r="BJ26" i="1"/>
  <c r="BJ21" i="1"/>
  <c r="BJ20" i="1"/>
  <c r="BJ19" i="1"/>
  <c r="BJ18" i="1"/>
  <c r="BJ17" i="1"/>
  <c r="BJ16" i="1"/>
  <c r="BJ15" i="1"/>
  <c r="BJ14" i="1"/>
  <c r="BJ13" i="1"/>
  <c r="BJ12" i="1"/>
  <c r="BJ11" i="1"/>
  <c r="BJ10" i="1"/>
  <c r="BJ9" i="1"/>
  <c r="BJ8" i="1"/>
  <c r="BJ7" i="1"/>
  <c r="AK29" i="1" l="1"/>
  <c r="AL29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tc={A4A043D3-7581-4412-84A5-518264F56840}</author>
  </authors>
  <commentList>
    <comment ref="I6" authorId="0" shapeId="0" xr:uid="{A4A043D3-7581-4412-84A5-518264F56840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Se utilizó la misma boquilla de 0,4mm de diámetro.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tc={85A26F24-625A-4EB8-A77D-4A1BCCFC6349}</author>
  </authors>
  <commentList>
    <comment ref="G6" authorId="0" shapeId="0" xr:uid="{85A26F24-625A-4EB8-A77D-4A1BCCFC6349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Se utilizó la misma boquilla de 0,4mm de diámetro.</t>
      </text>
    </comment>
  </commentList>
</comments>
</file>

<file path=xl/sharedStrings.xml><?xml version="1.0" encoding="utf-8"?>
<sst xmlns="http://schemas.openxmlformats.org/spreadsheetml/2006/main" count="364" uniqueCount="105">
  <si>
    <t>Valores nominales</t>
  </si>
  <si>
    <t>Largo (mm)</t>
  </si>
  <si>
    <t>Tiempo de medición con brazo: 158 minutos</t>
  </si>
  <si>
    <t>17:59:00</t>
  </si>
  <si>
    <t>Ancho (mm)</t>
  </si>
  <si>
    <t>Tiempo de medición de rugosidad: 7 horas, 420 minutos</t>
  </si>
  <si>
    <t>Altura (mm)</t>
  </si>
  <si>
    <t>Experimento no.</t>
  </si>
  <si>
    <t>Temperatura de la boquilla (°C)</t>
  </si>
  <si>
    <t>Altura de la capa (µm)</t>
  </si>
  <si>
    <t>Altura de la capa (mm)</t>
  </si>
  <si>
    <t>Velocidad de impresión (mm/s)</t>
  </si>
  <si>
    <t>Diámetro de boquilla (mm)</t>
  </si>
  <si>
    <t>Porcentaje de relleno (%)</t>
  </si>
  <si>
    <t>Largo 1 (mm)</t>
  </si>
  <si>
    <t>Largo 2 (mm)</t>
  </si>
  <si>
    <t>Largo 3 (mm)</t>
  </si>
  <si>
    <t>Largo_Promedio (mm)</t>
  </si>
  <si>
    <t>Largo_Desv. Estándar (mm)</t>
  </si>
  <si>
    <t>VernierLargo-Desviación dimensional (mm)</t>
  </si>
  <si>
    <t>Ancho 1 (mm)</t>
  </si>
  <si>
    <t>Ancho 2 (mm)</t>
  </si>
  <si>
    <t>Ancho 3 (mm)</t>
  </si>
  <si>
    <t>Ancho_Promedio (mm)</t>
  </si>
  <si>
    <t>Ancho_Desv. Estándar (mm)</t>
  </si>
  <si>
    <t>VernierAncho-Desviación dimensional (mm)</t>
  </si>
  <si>
    <t>Altura 1 (mm)</t>
  </si>
  <si>
    <t>Altura 2 (mm)</t>
  </si>
  <si>
    <t>Altura 3 (mm)</t>
  </si>
  <si>
    <t>Altura_Promedio (mm)</t>
  </si>
  <si>
    <t>Altura_Desv. Estándar (mm)</t>
  </si>
  <si>
    <t>VernierAltura-Desviación dimensional (mm)</t>
  </si>
  <si>
    <t>BrazoLargo (mm)</t>
  </si>
  <si>
    <t>BrazoLargo-Desviación dimensional (mm)</t>
  </si>
  <si>
    <t>BrazoAncho (mm)</t>
  </si>
  <si>
    <t>BrazoAncho-Desviación dimensional (mm)</t>
  </si>
  <si>
    <t>BrazoAltura (mm)</t>
  </si>
  <si>
    <t>BrazoAltura-Desviación dimensional (mm)</t>
  </si>
  <si>
    <t>Ra 0,8 d (μm)</t>
  </si>
  <si>
    <t>Ra 0,8 i (μm)</t>
  </si>
  <si>
    <t>Ra_0,8Promedio (μm)</t>
  </si>
  <si>
    <t>Ra_0,8Desv. Estándar (μm)</t>
  </si>
  <si>
    <t>Ra 2,5 d (μm)</t>
  </si>
  <si>
    <t>Ra 2,5 i (μm)</t>
  </si>
  <si>
    <t>Ra_2,5Promedio (μm)</t>
  </si>
  <si>
    <t>Ra_2,5Desv. Estándar (μm)</t>
  </si>
  <si>
    <t>Rq 0,8 d (μm)</t>
  </si>
  <si>
    <t>Rq 0,8 i (μm)</t>
  </si>
  <si>
    <t>Rq_0,8Promedio (μm)</t>
  </si>
  <si>
    <t>Rq_0,8Desv. Estándar (μm)</t>
  </si>
  <si>
    <t>Rq 2,5 d (μm)</t>
  </si>
  <si>
    <t>Rq 2,5 i (μm)</t>
  </si>
  <si>
    <t>Rq_2,5Promedio (μm)</t>
  </si>
  <si>
    <t>Rq_2,5Desv. Estándar (μm)</t>
  </si>
  <si>
    <t>Rz 0,8 d (μm)</t>
  </si>
  <si>
    <t>Rz 0,8 i (μm)</t>
  </si>
  <si>
    <t>Rz_0,8Promedio (μm)</t>
  </si>
  <si>
    <t>Rz_0,8Desv. Estándar (μm)</t>
  </si>
  <si>
    <t>Rz 2,5 d (μm)</t>
  </si>
  <si>
    <t>Rz 2,5 i (μm)</t>
  </si>
  <si>
    <t>Rz_2,5Promedio (μm)</t>
  </si>
  <si>
    <t>Rz_2,5Desv. Estándar (μm)</t>
  </si>
  <si>
    <t>T_ini (°C)</t>
  </si>
  <si>
    <t>T_mid (°C)</t>
  </si>
  <si>
    <t>T_fin (°C)</t>
  </si>
  <si>
    <t>T_media (°C)</t>
  </si>
  <si>
    <t>T_desv (°C)</t>
  </si>
  <si>
    <t>HR_ini</t>
  </si>
  <si>
    <t>HR_mid</t>
  </si>
  <si>
    <t>HR_fin</t>
  </si>
  <si>
    <t>HR_media</t>
  </si>
  <si>
    <t>HR_desv</t>
  </si>
  <si>
    <t>Tiempo estimado de impresión (min)</t>
  </si>
  <si>
    <t>Tiempo real de impresión (min)</t>
  </si>
  <si>
    <t>Tiempo de enfriamiento (min)</t>
  </si>
  <si>
    <t>Tiempo de medición y toma de datos (min)</t>
  </si>
  <si>
    <t>Tiempo total</t>
  </si>
  <si>
    <t>Consumo de material (g)</t>
  </si>
  <si>
    <t>Consumo de material (m)</t>
  </si>
  <si>
    <r>
      <t>Consumo de material (cm</t>
    </r>
    <r>
      <rPr>
        <b/>
        <vertAlign val="superscript"/>
        <sz val="11"/>
        <color theme="1"/>
        <rFont val="Arial"/>
        <family val="2"/>
      </rPr>
      <t>3</t>
    </r>
    <r>
      <rPr>
        <b/>
        <sz val="11"/>
        <color theme="1"/>
        <rFont val="Arial"/>
        <family val="2"/>
      </rPr>
      <t>)</t>
    </r>
  </si>
  <si>
    <t>Fecha de impresión</t>
  </si>
  <si>
    <t>Operador</t>
  </si>
  <si>
    <t>Observaciones</t>
  </si>
  <si>
    <t>0.3</t>
  </si>
  <si>
    <t>Cui Zhong</t>
  </si>
  <si>
    <t>0.4</t>
  </si>
  <si>
    <t>0.5</t>
  </si>
  <si>
    <t>0,223/1,274</t>
  </si>
  <si>
    <t>0,384/1,971</t>
  </si>
  <si>
    <t>1,362/7,632</t>
  </si>
  <si>
    <t>NA</t>
  </si>
  <si>
    <t>Solución</t>
  </si>
  <si>
    <t>Nozzle Temp (°C)</t>
  </si>
  <si>
    <t>Layer Height (µm)</t>
  </si>
  <si>
    <t>Print Speed (mm/s)</t>
  </si>
  <si>
    <t>Nozzle Diam (mm)</t>
  </si>
  <si>
    <t>Infill (%)</t>
  </si>
  <si>
    <t>Promedio Rugosidad Ajuste</t>
  </si>
  <si>
    <t>Deseabilidad compuesta</t>
  </si>
  <si>
    <t>Promedio</t>
  </si>
  <si>
    <t>Tiempo de medición y toma de datos (vernier) (min)</t>
  </si>
  <si>
    <t>Min</t>
  </si>
  <si>
    <t>Max</t>
  </si>
  <si>
    <t>tipo Pt (considerando diámetro de boquilla)</t>
  </si>
  <si>
    <t>tipo Pt (sin considerar diámetro de boquilla)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</si>
</sst>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0"/>
    <numFmt numFmtId="166" formatCode="0.000"/>
  </numFmts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vertAlign val="superscript"/>
      <sz val="11"/>
      <color theme="1"/>
      <name val="Arial"/>
      <family val="2"/>
    </font>
    <font>
      <b/>
      <sz val="11"/>
      <color theme="1"/>
      <name val="Calibri"/>
      <family val="2"/>
      <scheme val="minor"/>
    </font>
    <font>
      <b/>
      <sz val="11"/>
      <color indexed="8"/>
      <name val="Calibri"/>
    </font>
    <font>
      <b/>
      <sz val="11"/>
      <color theme="4" tint="-0.249977111117893"/>
      <name val="Arial"/>
      <family val="2"/>
    </font>
    <font>
      <b/>
      <sz val="11"/>
      <color theme="5" tint="-0.249977111117893"/>
      <name val="Arial"/>
      <family val="2"/>
    </font>
    <font>
      <b/>
      <sz val="11"/>
      <color theme="9" tint="-0.249977111117893"/>
      <name val="Arial"/>
      <family val="2"/>
    </font>
    <font>
      <sz val="11"/>
      <color rgb="FFFF0000"/>
      <name val="Arial"/>
      <family val="2"/>
    </font>
    <font>
      <sz val="11"/>
      <color theme="9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CCCCFF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68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9" fontId="2" fillId="0" borderId="0" xfId="1" applyFont="1" applyBorder="1" applyAlignment="1">
      <alignment horizontal="center" vertical="center" wrapText="1"/>
    </xf>
    <xf numFmtId="10" fontId="2" fillId="0" borderId="0" xfId="1" applyNumberFormat="1" applyFont="1" applyBorder="1" applyAlignment="1">
      <alignment horizontal="center" vertical="center" wrapText="1"/>
    </xf>
    <xf numFmtId="0" fontId="2" fillId="0" borderId="0" xfId="0" applyFont="1" applyAlignment="1">
      <alignment horizontal="center"/>
    </xf>
    <xf numFmtId="9" fontId="2" fillId="0" borderId="0" xfId="1" applyFont="1" applyAlignment="1">
      <alignment horizontal="center" vertical="center"/>
    </xf>
    <xf numFmtId="10" fontId="2" fillId="0" borderId="0" xfId="1" applyNumberFormat="1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9" fontId="2" fillId="0" borderId="0" xfId="1" applyFont="1" applyBorder="1" applyAlignment="1">
      <alignment horizontal="center" vertical="center"/>
    </xf>
    <xf numFmtId="10" fontId="2" fillId="0" borderId="0" xfId="1" applyNumberFormat="1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 wrapText="1"/>
    </xf>
    <xf numFmtId="9" fontId="2" fillId="0" borderId="8" xfId="1" applyFont="1" applyBorder="1" applyAlignment="1">
      <alignment horizontal="center" vertical="center"/>
    </xf>
    <xf numFmtId="10" fontId="2" fillId="0" borderId="8" xfId="1" applyNumberFormat="1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 wrapText="1"/>
    </xf>
    <xf numFmtId="164" fontId="2" fillId="0" borderId="3" xfId="0" applyNumberFormat="1" applyFont="1" applyBorder="1" applyAlignment="1">
      <alignment horizontal="center" vertical="center" wrapText="1"/>
    </xf>
    <xf numFmtId="9" fontId="2" fillId="0" borderId="3" xfId="1" applyFont="1" applyBorder="1" applyAlignment="1">
      <alignment horizontal="center" vertical="center" wrapText="1"/>
    </xf>
    <xf numFmtId="10" fontId="2" fillId="0" borderId="3" xfId="1" applyNumberFormat="1" applyFont="1" applyBorder="1" applyAlignment="1">
      <alignment horizontal="center" vertical="center" wrapText="1"/>
    </xf>
    <xf numFmtId="14" fontId="2" fillId="0" borderId="3" xfId="0" applyNumberFormat="1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/>
    </xf>
    <xf numFmtId="2" fontId="2" fillId="0" borderId="0" xfId="0" applyNumberFormat="1" applyFont="1" applyAlignment="1">
      <alignment horizontal="center" vertical="center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2" fontId="3" fillId="0" borderId="3" xfId="0" applyNumberFormat="1" applyFont="1" applyBorder="1" applyAlignment="1">
      <alignment horizontal="center" vertical="center" wrapText="1"/>
    </xf>
    <xf numFmtId="9" fontId="3" fillId="0" borderId="3" xfId="1" applyFont="1" applyBorder="1" applyAlignment="1">
      <alignment horizontal="center" vertical="center" wrapText="1"/>
    </xf>
    <xf numFmtId="10" fontId="3" fillId="0" borderId="3" xfId="1" applyNumberFormat="1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 wrapText="1"/>
    </xf>
    <xf numFmtId="164" fontId="2" fillId="0" borderId="0" xfId="0" applyNumberFormat="1" applyFont="1" applyAlignment="1">
      <alignment horizontal="center" vertical="center" wrapText="1"/>
    </xf>
    <xf numFmtId="14" fontId="2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2" fillId="0" borderId="3" xfId="0" applyFont="1" applyBorder="1" applyAlignment="1">
      <alignment horizontal="center"/>
    </xf>
    <xf numFmtId="0" fontId="5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5" fillId="0" borderId="0" xfId="0" applyFont="1" applyAlignment="1">
      <alignment vertical="center" wrapText="1"/>
    </xf>
    <xf numFmtId="14" fontId="2" fillId="0" borderId="8" xfId="0" applyNumberFormat="1" applyFont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 wrapText="1"/>
    </xf>
    <xf numFmtId="0" fontId="3" fillId="4" borderId="3" xfId="0" applyFont="1" applyFill="1" applyBorder="1" applyAlignment="1">
      <alignment horizontal="center" vertical="center" wrapText="1"/>
    </xf>
    <xf numFmtId="0" fontId="3" fillId="5" borderId="3" xfId="0" applyFont="1" applyFill="1" applyBorder="1" applyAlignment="1">
      <alignment horizontal="center" vertical="center" wrapText="1"/>
    </xf>
    <xf numFmtId="0" fontId="3" fillId="6" borderId="3" xfId="0" applyFont="1" applyFill="1" applyBorder="1" applyAlignment="1">
      <alignment horizontal="center" vertical="center" wrapText="1"/>
    </xf>
    <xf numFmtId="165" fontId="2" fillId="0" borderId="3" xfId="0" applyNumberFormat="1" applyFont="1" applyBorder="1" applyAlignment="1">
      <alignment horizontal="center" vertical="center" wrapText="1"/>
    </xf>
    <xf numFmtId="165" fontId="2" fillId="0" borderId="0" xfId="0" applyNumberFormat="1" applyFont="1" applyAlignment="1">
      <alignment horizontal="center" vertical="center" wrapText="1"/>
    </xf>
    <xf numFmtId="165" fontId="2" fillId="0" borderId="0" xfId="0" applyNumberFormat="1" applyFont="1" applyAlignment="1">
      <alignment horizontal="center" vertical="center"/>
    </xf>
    <xf numFmtId="165" fontId="2" fillId="0" borderId="8" xfId="0" applyNumberFormat="1" applyFont="1" applyBorder="1" applyAlignment="1">
      <alignment horizontal="center" vertical="center"/>
    </xf>
    <xf numFmtId="166" fontId="2" fillId="0" borderId="3" xfId="0" applyNumberFormat="1" applyFont="1" applyBorder="1" applyAlignment="1">
      <alignment horizontal="center" vertical="center" wrapText="1"/>
    </xf>
    <xf numFmtId="166" fontId="2" fillId="0" borderId="0" xfId="0" applyNumberFormat="1" applyFont="1" applyAlignment="1">
      <alignment horizontal="center" vertical="center" wrapText="1"/>
    </xf>
    <xf numFmtId="166" fontId="2" fillId="0" borderId="0" xfId="0" applyNumberFormat="1" applyFont="1" applyAlignment="1">
      <alignment horizontal="center" vertical="center"/>
    </xf>
    <xf numFmtId="166" fontId="2" fillId="0" borderId="8" xfId="0" applyNumberFormat="1" applyFont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14" fontId="6" fillId="0" borderId="0" xfId="0" applyNumberFormat="1" applyFont="1" applyAlignment="1">
      <alignment horizontal="right" vertical="center"/>
    </xf>
    <xf numFmtId="21" fontId="6" fillId="0" borderId="0" xfId="0" applyNumberFormat="1" applyFont="1" applyAlignment="1">
      <alignment horizontal="right" vertical="center"/>
    </xf>
    <xf numFmtId="2" fontId="7" fillId="0" borderId="3" xfId="0" applyNumberFormat="1" applyFont="1" applyBorder="1" applyAlignment="1">
      <alignment horizontal="center" vertical="center" wrapText="1"/>
    </xf>
    <xf numFmtId="2" fontId="8" fillId="0" borderId="3" xfId="0" applyNumberFormat="1" applyFont="1" applyBorder="1" applyAlignment="1">
      <alignment horizontal="center" vertical="center" wrapText="1"/>
    </xf>
    <xf numFmtId="2" fontId="9" fillId="0" borderId="3" xfId="0" applyNumberFormat="1" applyFont="1" applyBorder="1" applyAlignment="1">
      <alignment horizontal="center" vertical="center" wrapText="1"/>
    </xf>
    <xf numFmtId="0" fontId="2" fillId="7" borderId="5" xfId="0" applyFont="1" applyFill="1" applyBorder="1" applyAlignment="1">
      <alignment horizontal="center" vertical="center"/>
    </xf>
    <xf numFmtId="166" fontId="10" fillId="0" borderId="0" xfId="0" applyNumberFormat="1" applyFont="1" applyAlignment="1">
      <alignment horizontal="center" vertical="center"/>
    </xf>
    <xf numFmtId="0" fontId="2" fillId="8" borderId="5" xfId="0" applyFont="1" applyFill="1" applyBorder="1" applyAlignment="1">
      <alignment horizontal="center" vertical="center"/>
    </xf>
    <xf numFmtId="166" fontId="11" fillId="0" borderId="0" xfId="0" applyNumberFormat="1" applyFont="1" applyAlignment="1">
      <alignment horizontal="center" vertical="center"/>
    </xf>
    <xf numFmtId="164" fontId="2" fillId="0" borderId="0" xfId="0" applyNumberFormat="1" applyFont="1" applyAlignment="1">
      <alignment horizontal="center" vertical="center"/>
    </xf>
  </cellXfs>
  <cellStyles count="2">
    <cellStyle name="Normal" xfId="0" builtinId="0"/>
    <cellStyle name="Porcentaje" xfId="1" builtinId="5"/>
  </cellStyles>
  <dxfs count="0"/>
  <tableStyles count="0" defaultTableStyle="TableStyleMedium2" defaultPivotStyle="PivotStyleLight16"/>
  <colors>
    <mruColors>
      <color rgb="FFCC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Cui Ting Zhong Xie" id="{F25E9B76-20D9-486D-B620-2F525A4A4239}" userId="b48497752f77df29" providerId="Windows Live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I6" dT="2025-11-30T04:47:52.89" personId="{F25E9B76-20D9-486D-B620-2F525A4A4239}" id="{A4A043D3-7581-4412-84A5-518264F56840}">
    <text>Se utilizó la misma boquilla de 0,4mm de diámetro.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G6" dT="2025-11-30T04:47:52.89" personId="{F25E9B76-20D9-486D-B620-2F525A4A4239}" id="{85A26F24-625A-4EB8-A77D-4A1BCCFC6349}">
    <text>Se utilizó la misma boquilla de 0,4mm de diámetro.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Relationship Id="rId4" Type="http://schemas.microsoft.com/office/2017/10/relationships/threadedComment" Target="../threadedComments/threadedComment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CA1048576"/>
  <sheetViews>
    <sheetView tabSelected="1" zoomScaleNormal="100" workbookViewId="0">
      <pane xSplit="10" ySplit="6" topLeftCell="K16" activePane="bottomRight" state="frozen"/>
      <selection pane="topRight" activeCell="I1" sqref="I1"/>
      <selection pane="bottomLeft" activeCell="A7" sqref="A7"/>
      <selection pane="bottomRight" activeCell="B7" sqref="B7:B49"/>
    </sheetView>
  </sheetViews>
  <sheetFormatPr baseColWidth="10" defaultColWidth="9.140625" defaultRowHeight="15" x14ac:dyDescent="0.25"/>
  <cols>
    <col min="1" max="1" width="9.140625" style="3"/>
    <col min="2" max="2" width="24.5703125" style="3" customWidth="1"/>
    <col min="3" max="3" width="25.140625" style="3" customWidth="1"/>
    <col min="4" max="4" width="13.5703125" style="3" customWidth="1"/>
    <col min="5" max="5" width="14.5703125" style="3" customWidth="1"/>
    <col min="6" max="6" width="11.85546875" style="3" customWidth="1"/>
    <col min="7" max="7" width="11" style="3" customWidth="1"/>
    <col min="8" max="8" width="15.5703125" style="3" customWidth="1"/>
    <col min="9" max="9" width="13.5703125" style="3" customWidth="1"/>
    <col min="10" max="10" width="13.140625" style="3" customWidth="1"/>
    <col min="11" max="13" width="9.140625" style="3" bestFit="1"/>
    <col min="14" max="14" width="11.42578125" style="3" customWidth="1"/>
    <col min="15" max="15" width="9.7109375" style="3" customWidth="1"/>
    <col min="16" max="16" width="15.140625" style="3" customWidth="1"/>
    <col min="17" max="19" width="9.28515625" style="3" bestFit="1" customWidth="1"/>
    <col min="20" max="20" width="13" style="28" bestFit="1" customWidth="1"/>
    <col min="21" max="21" width="11.85546875" style="28" bestFit="1" customWidth="1"/>
    <col min="22" max="22" width="15" style="28" customWidth="1"/>
    <col min="23" max="25" width="9.140625" style="3" bestFit="1" customWidth="1"/>
    <col min="26" max="26" width="9.7109375" style="28" bestFit="1" customWidth="1"/>
    <col min="27" max="27" width="10.140625" style="28" customWidth="1"/>
    <col min="28" max="34" width="15.42578125" style="28" customWidth="1"/>
    <col min="35" max="36" width="11.5703125" style="28" customWidth="1"/>
    <col min="37" max="37" width="17.7109375" style="28" customWidth="1"/>
    <col min="38" max="38" width="16.42578125" style="28" customWidth="1"/>
    <col min="39" max="40" width="12" style="28" customWidth="1"/>
    <col min="41" max="41" width="17.5703125" style="28" customWidth="1"/>
    <col min="42" max="42" width="15.42578125" style="28" customWidth="1"/>
    <col min="43" max="44" width="11.5703125" style="28" customWidth="1"/>
    <col min="45" max="45" width="18.42578125" style="28" customWidth="1"/>
    <col min="46" max="46" width="16.42578125" style="28" customWidth="1"/>
    <col min="47" max="48" width="12" style="28" customWidth="1"/>
    <col min="49" max="49" width="17.28515625" style="28" customWidth="1"/>
    <col min="50" max="50" width="15.42578125" style="28" customWidth="1"/>
    <col min="51" max="52" width="11.5703125" style="28" customWidth="1"/>
    <col min="53" max="53" width="17.42578125" style="28" customWidth="1"/>
    <col min="54" max="54" width="16.42578125" style="28" customWidth="1"/>
    <col min="55" max="56" width="12" style="28" customWidth="1"/>
    <col min="57" max="57" width="17.7109375" style="28" customWidth="1"/>
    <col min="58" max="58" width="15.42578125" style="28" customWidth="1"/>
    <col min="59" max="59" width="6.85546875" style="3" customWidth="1"/>
    <col min="60" max="60" width="8.140625" style="3" customWidth="1"/>
    <col min="61" max="61" width="8" style="3" customWidth="1"/>
    <col min="62" max="62" width="10.7109375" style="3" customWidth="1"/>
    <col min="63" max="63" width="9.42578125" style="3" customWidth="1"/>
    <col min="64" max="64" width="8.28515625" style="14" customWidth="1"/>
    <col min="65" max="65" width="9.85546875" style="14" customWidth="1"/>
    <col min="66" max="66" width="9" style="14" customWidth="1"/>
    <col min="67" max="67" width="11.85546875" style="3" customWidth="1"/>
    <col min="68" max="68" width="10.5703125" style="15" customWidth="1"/>
    <col min="69" max="69" width="17.85546875" style="1" customWidth="1"/>
    <col min="70" max="70" width="18" style="1" customWidth="1"/>
    <col min="71" max="71" width="19.28515625" style="1" customWidth="1"/>
    <col min="72" max="72" width="16.85546875" style="1" customWidth="1"/>
    <col min="73" max="73" width="11.42578125" style="1"/>
    <col min="74" max="75" width="12.42578125" style="1" customWidth="1"/>
    <col min="76" max="76" width="14.42578125" style="1" customWidth="1"/>
    <col min="77" max="77" width="11.5703125" style="3" customWidth="1"/>
    <col min="78" max="78" width="10.7109375" style="3" bestFit="1" customWidth="1"/>
    <col min="79" max="79" width="16.5703125" style="3" customWidth="1"/>
    <col min="80" max="16384" width="9.140625" style="3"/>
  </cols>
  <sheetData>
    <row r="1" spans="2:79" x14ac:dyDescent="0.25">
      <c r="D1" s="39" t="s">
        <v>0</v>
      </c>
      <c r="E1" s="2"/>
    </row>
    <row r="2" spans="2:79" x14ac:dyDescent="0.25">
      <c r="D2" s="13" t="s">
        <v>1</v>
      </c>
      <c r="E2" s="13">
        <v>70</v>
      </c>
      <c r="G2" s="57" t="s">
        <v>2</v>
      </c>
      <c r="J2" s="59">
        <v>0.63965277777777774</v>
      </c>
      <c r="K2" s="58" t="s">
        <v>3</v>
      </c>
      <c r="Z2" s="58" t="s">
        <v>3</v>
      </c>
    </row>
    <row r="3" spans="2:79" x14ac:dyDescent="0.25">
      <c r="D3" s="13" t="s">
        <v>4</v>
      </c>
      <c r="E3" s="13">
        <v>50</v>
      </c>
      <c r="G3" s="57" t="s">
        <v>5</v>
      </c>
    </row>
    <row r="4" spans="2:79" x14ac:dyDescent="0.25">
      <c r="D4" s="13" t="s">
        <v>6</v>
      </c>
      <c r="E4" s="13">
        <v>5</v>
      </c>
      <c r="BL4" s="11"/>
      <c r="BM4" s="11"/>
      <c r="BN4" s="11"/>
      <c r="BP4" s="12"/>
    </row>
    <row r="5" spans="2:79" ht="15.75" thickBot="1" x14ac:dyDescent="0.3">
      <c r="BL5" s="11"/>
      <c r="BM5" s="11"/>
      <c r="BN5" s="11"/>
      <c r="BP5" s="12"/>
    </row>
    <row r="6" spans="2:79" s="2" customFormat="1" ht="60.75" thickBot="1" x14ac:dyDescent="0.3">
      <c r="B6" s="2" t="s">
        <v>104</v>
      </c>
      <c r="C6" s="2" t="s">
        <v>103</v>
      </c>
      <c r="D6" s="29" t="s">
        <v>7</v>
      </c>
      <c r="E6" s="30" t="s">
        <v>8</v>
      </c>
      <c r="F6" s="30" t="s">
        <v>9</v>
      </c>
      <c r="G6" s="30" t="s">
        <v>10</v>
      </c>
      <c r="H6" s="30" t="s">
        <v>11</v>
      </c>
      <c r="I6" s="31" t="s">
        <v>12</v>
      </c>
      <c r="J6" s="30" t="s">
        <v>13</v>
      </c>
      <c r="K6" s="30" t="s">
        <v>14</v>
      </c>
      <c r="L6" s="30" t="s">
        <v>15</v>
      </c>
      <c r="M6" s="30" t="s">
        <v>16</v>
      </c>
      <c r="N6" s="30" t="s">
        <v>17</v>
      </c>
      <c r="O6" s="30" t="s">
        <v>18</v>
      </c>
      <c r="P6" s="46" t="s">
        <v>19</v>
      </c>
      <c r="Q6" s="30" t="s">
        <v>20</v>
      </c>
      <c r="R6" s="30" t="s">
        <v>21</v>
      </c>
      <c r="S6" s="30" t="s">
        <v>22</v>
      </c>
      <c r="T6" s="32" t="s">
        <v>23</v>
      </c>
      <c r="U6" s="32" t="s">
        <v>24</v>
      </c>
      <c r="V6" s="46" t="s">
        <v>25</v>
      </c>
      <c r="W6" s="30" t="s">
        <v>26</v>
      </c>
      <c r="X6" s="30" t="s">
        <v>27</v>
      </c>
      <c r="Y6" s="30" t="s">
        <v>28</v>
      </c>
      <c r="Z6" s="32" t="s">
        <v>29</v>
      </c>
      <c r="AA6" s="32" t="s">
        <v>30</v>
      </c>
      <c r="AB6" s="46" t="s">
        <v>31</v>
      </c>
      <c r="AC6" s="32" t="s">
        <v>32</v>
      </c>
      <c r="AD6" s="45" t="s">
        <v>33</v>
      </c>
      <c r="AE6" s="30" t="s">
        <v>34</v>
      </c>
      <c r="AF6" s="45" t="s">
        <v>35</v>
      </c>
      <c r="AG6" s="30" t="s">
        <v>36</v>
      </c>
      <c r="AH6" s="45" t="s">
        <v>37</v>
      </c>
      <c r="AI6" s="60" t="s">
        <v>38</v>
      </c>
      <c r="AJ6" s="60" t="s">
        <v>39</v>
      </c>
      <c r="AK6" s="60" t="s">
        <v>40</v>
      </c>
      <c r="AL6" s="60" t="s">
        <v>41</v>
      </c>
      <c r="AM6" s="60" t="s">
        <v>42</v>
      </c>
      <c r="AN6" s="60" t="s">
        <v>43</v>
      </c>
      <c r="AO6" s="60" t="s">
        <v>44</v>
      </c>
      <c r="AP6" s="60" t="s">
        <v>45</v>
      </c>
      <c r="AQ6" s="61" t="s">
        <v>46</v>
      </c>
      <c r="AR6" s="61" t="s">
        <v>47</v>
      </c>
      <c r="AS6" s="61" t="s">
        <v>48</v>
      </c>
      <c r="AT6" s="61" t="s">
        <v>49</v>
      </c>
      <c r="AU6" s="61" t="s">
        <v>50</v>
      </c>
      <c r="AV6" s="61" t="s">
        <v>51</v>
      </c>
      <c r="AW6" s="61" t="s">
        <v>52</v>
      </c>
      <c r="AX6" s="61" t="s">
        <v>53</v>
      </c>
      <c r="AY6" s="62" t="s">
        <v>54</v>
      </c>
      <c r="AZ6" s="62" t="s">
        <v>55</v>
      </c>
      <c r="BA6" s="62" t="s">
        <v>56</v>
      </c>
      <c r="BB6" s="62" t="s">
        <v>57</v>
      </c>
      <c r="BC6" s="62" t="s">
        <v>58</v>
      </c>
      <c r="BD6" s="62" t="s">
        <v>59</v>
      </c>
      <c r="BE6" s="62" t="s">
        <v>60</v>
      </c>
      <c r="BF6" s="62" t="s">
        <v>61</v>
      </c>
      <c r="BG6" s="30" t="s">
        <v>62</v>
      </c>
      <c r="BH6" s="30" t="s">
        <v>63</v>
      </c>
      <c r="BI6" s="30" t="s">
        <v>64</v>
      </c>
      <c r="BJ6" s="47" t="s">
        <v>65</v>
      </c>
      <c r="BK6" s="30" t="s">
        <v>66</v>
      </c>
      <c r="BL6" s="33" t="s">
        <v>67</v>
      </c>
      <c r="BM6" s="33" t="s">
        <v>68</v>
      </c>
      <c r="BN6" s="33" t="s">
        <v>69</v>
      </c>
      <c r="BO6" s="47" t="s">
        <v>70</v>
      </c>
      <c r="BP6" s="34" t="s">
        <v>71</v>
      </c>
      <c r="BQ6" s="30" t="s">
        <v>72</v>
      </c>
      <c r="BR6" s="48" t="s">
        <v>73</v>
      </c>
      <c r="BS6" s="30" t="s">
        <v>74</v>
      </c>
      <c r="BT6" s="30" t="s">
        <v>100</v>
      </c>
      <c r="BU6" s="30" t="s">
        <v>76</v>
      </c>
      <c r="BV6" s="48" t="s">
        <v>77</v>
      </c>
      <c r="BW6" s="30" t="s">
        <v>78</v>
      </c>
      <c r="BX6" s="30" t="s">
        <v>79</v>
      </c>
      <c r="BY6" s="30" t="s">
        <v>80</v>
      </c>
      <c r="BZ6" s="35" t="s">
        <v>81</v>
      </c>
      <c r="CA6" s="36" t="s">
        <v>82</v>
      </c>
    </row>
    <row r="7" spans="2:79" ht="14.25" x14ac:dyDescent="0.2">
      <c r="B7" s="3">
        <v>1</v>
      </c>
      <c r="C7" s="3">
        <v>1</v>
      </c>
      <c r="D7" s="19">
        <v>1</v>
      </c>
      <c r="E7" s="20">
        <v>210</v>
      </c>
      <c r="F7" s="20">
        <v>200</v>
      </c>
      <c r="G7" s="20">
        <v>0.2</v>
      </c>
      <c r="H7" s="20">
        <v>30</v>
      </c>
      <c r="I7" s="20" t="s">
        <v>83</v>
      </c>
      <c r="J7" s="20">
        <v>30</v>
      </c>
      <c r="K7" s="21">
        <v>69.83</v>
      </c>
      <c r="L7" s="21">
        <v>69.819999999999993</v>
      </c>
      <c r="M7" s="21">
        <v>69.84</v>
      </c>
      <c r="N7" s="53">
        <f>AVERAGE(K7:M7)</f>
        <v>69.83</v>
      </c>
      <c r="O7" s="53">
        <f>_xlfn.STDEV.S(K7:M7)</f>
        <v>1.0000000000005116E-2</v>
      </c>
      <c r="P7" s="53">
        <f>ABS($E$2-N7)</f>
        <v>0.17000000000000171</v>
      </c>
      <c r="Q7" s="21">
        <v>49.83</v>
      </c>
      <c r="R7" s="21">
        <v>49.75</v>
      </c>
      <c r="S7" s="21">
        <v>49.81</v>
      </c>
      <c r="T7" s="53">
        <f t="shared" ref="T7:T12" si="0">AVERAGE(Q7:S7)</f>
        <v>49.79666666666666</v>
      </c>
      <c r="U7" s="53">
        <f t="shared" ref="U7:U12" si="1">_xlfn.STDEV.S(Q7:S7)</f>
        <v>4.1633319989322334E-2</v>
      </c>
      <c r="V7" s="53">
        <f>ABS($E$3-T7)</f>
        <v>0.20333333333334025</v>
      </c>
      <c r="W7" s="21">
        <v>4.97</v>
      </c>
      <c r="X7" s="21">
        <v>4.99</v>
      </c>
      <c r="Y7" s="21">
        <v>4.9800000000000004</v>
      </c>
      <c r="Z7" s="53">
        <f t="shared" ref="Z7:Z12" si="2">AVERAGE(W7:Y7)</f>
        <v>4.9800000000000004</v>
      </c>
      <c r="AA7" s="53">
        <f t="shared" ref="AA7:AA12" si="3">_xlfn.STDEV.S(W7:Y7)</f>
        <v>1.0000000000000231E-2</v>
      </c>
      <c r="AB7" s="53">
        <f>ABS($E$4-Z7)</f>
        <v>1.9999999999999574E-2</v>
      </c>
      <c r="AC7" s="49">
        <v>69.707800000000006</v>
      </c>
      <c r="AD7" s="49">
        <f>ABS($E$2-AC7)</f>
        <v>0.29219999999999402</v>
      </c>
      <c r="AE7" s="49">
        <v>49.676000000000002</v>
      </c>
      <c r="AF7" s="49">
        <f>ABS($E$3-AE7)</f>
        <v>0.32399999999999807</v>
      </c>
      <c r="AG7" s="49">
        <v>4.7826000000000004</v>
      </c>
      <c r="AH7" s="49">
        <f>ABS($E$4-AG7)</f>
        <v>0.21739999999999959</v>
      </c>
      <c r="AI7" s="53">
        <v>6.859</v>
      </c>
      <c r="AJ7" s="53">
        <v>6.2140000000000004</v>
      </c>
      <c r="AK7" s="53">
        <f>AVERAGE(AI7:AJ7)</f>
        <v>6.5365000000000002</v>
      </c>
      <c r="AL7" s="53">
        <f>_xlfn.STDEV.S(AI7:AJ7)</f>
        <v>0.45608387386532284</v>
      </c>
      <c r="AM7" s="53">
        <v>7.2569999999999997</v>
      </c>
      <c r="AN7" s="53">
        <v>7.12</v>
      </c>
      <c r="AO7" s="53">
        <f>AVERAGE(AM7:AN7)</f>
        <v>7.1884999999999994</v>
      </c>
      <c r="AP7" s="53">
        <f>_xlfn.STDEV.S(AM7:AN7)</f>
        <v>9.6873629022556709E-2</v>
      </c>
      <c r="AQ7" s="53">
        <v>7.67</v>
      </c>
      <c r="AR7" s="53">
        <v>7.0640000000000001</v>
      </c>
      <c r="AS7" s="53">
        <f>AVERAGE(AQ7:AR7)</f>
        <v>7.367</v>
      </c>
      <c r="AT7" s="53">
        <f>_xlfn.STDEV.S(AQ7:AR7)</f>
        <v>0.42850670939904772</v>
      </c>
      <c r="AU7" s="53">
        <v>8.5869999999999997</v>
      </c>
      <c r="AV7" s="53">
        <v>8.1259999999999994</v>
      </c>
      <c r="AW7" s="53">
        <f>AVERAGE(AU7:AV7)</f>
        <v>8.3565000000000005</v>
      </c>
      <c r="AX7" s="53">
        <f>_xlfn.STDEV.S(AU7:AV7)</f>
        <v>0.32597622612699861</v>
      </c>
      <c r="AY7" s="53">
        <v>25.768000000000001</v>
      </c>
      <c r="AZ7" s="53">
        <v>25.285</v>
      </c>
      <c r="BA7" s="53">
        <f>AVERAGE(AY7:AZ7)</f>
        <v>25.526499999999999</v>
      </c>
      <c r="BB7" s="53">
        <f>_xlfn.STDEV.S(AY7:AZ7)</f>
        <v>0.34153257531310283</v>
      </c>
      <c r="BC7" s="53">
        <v>36.231000000000002</v>
      </c>
      <c r="BD7" s="53">
        <v>30.152000000000001</v>
      </c>
      <c r="BE7" s="53">
        <f>AVERAGE(BC7:BD7)</f>
        <v>33.191500000000005</v>
      </c>
      <c r="BF7" s="53">
        <f>_xlfn.STDEV.S(BC7:BD7)</f>
        <v>4.2985021228330229</v>
      </c>
      <c r="BG7" s="21">
        <v>25.1</v>
      </c>
      <c r="BH7" s="21">
        <v>26.2</v>
      </c>
      <c r="BI7" s="21">
        <v>25.5</v>
      </c>
      <c r="BJ7" s="22">
        <f>AVERAGE(BG7:BI7)</f>
        <v>25.599999999999998</v>
      </c>
      <c r="BK7" s="21">
        <f>_xlfn.STDEV.S(BG7:BI7)</f>
        <v>0.55677643628300111</v>
      </c>
      <c r="BL7" s="23">
        <v>0.68</v>
      </c>
      <c r="BM7" s="23">
        <v>0.63</v>
      </c>
      <c r="BN7" s="23">
        <v>0.64</v>
      </c>
      <c r="BO7" s="23">
        <f>AVERAGE(BL7:BN7)</f>
        <v>0.65</v>
      </c>
      <c r="BP7" s="24">
        <f>_xlfn.STDEV.S(BL7:BN7)</f>
        <v>2.6457513110645932E-2</v>
      </c>
      <c r="BQ7" s="40">
        <v>68</v>
      </c>
      <c r="BR7" s="40">
        <v>71</v>
      </c>
      <c r="BS7" s="40">
        <v>5</v>
      </c>
      <c r="BT7" s="40">
        <v>2</v>
      </c>
      <c r="BU7" s="40">
        <f>SUM(BR7:BT7)</f>
        <v>78</v>
      </c>
      <c r="BV7" s="40">
        <v>13.03</v>
      </c>
      <c r="BW7" s="40">
        <v>4.37</v>
      </c>
      <c r="BX7" s="40">
        <v>10.51</v>
      </c>
      <c r="BY7" s="25">
        <v>45993</v>
      </c>
      <c r="BZ7" s="20" t="s">
        <v>84</v>
      </c>
      <c r="CA7" s="26"/>
    </row>
    <row r="8" spans="2:79" ht="14.25" x14ac:dyDescent="0.2">
      <c r="B8" s="3">
        <v>-1</v>
      </c>
      <c r="C8" s="3">
        <v>-1</v>
      </c>
      <c r="D8" s="4">
        <v>2</v>
      </c>
      <c r="E8" s="3">
        <v>190</v>
      </c>
      <c r="F8" s="3">
        <v>150</v>
      </c>
      <c r="G8" s="3">
        <v>0.15</v>
      </c>
      <c r="H8" s="3">
        <v>75</v>
      </c>
      <c r="I8" s="3" t="s">
        <v>85</v>
      </c>
      <c r="J8" s="3">
        <v>20</v>
      </c>
      <c r="K8" s="2">
        <v>69.8</v>
      </c>
      <c r="L8" s="2">
        <v>69.78</v>
      </c>
      <c r="M8" s="2">
        <v>69.81</v>
      </c>
      <c r="N8" s="54">
        <f t="shared" ref="N8:N23" si="4">AVERAGE(K8:M8)</f>
        <v>69.796666666666667</v>
      </c>
      <c r="O8" s="54">
        <f t="shared" ref="O8:O23" si="5">_xlfn.STDEV.S(K8:M8)</f>
        <v>1.5275252316519527E-2</v>
      </c>
      <c r="P8" s="54">
        <f t="shared" ref="P8:P49" si="6">ABS($E$2-N8)</f>
        <v>0.20333333333333314</v>
      </c>
      <c r="Q8" s="2">
        <v>49.73</v>
      </c>
      <c r="R8" s="2">
        <v>49.74</v>
      </c>
      <c r="S8" s="2">
        <v>49.76</v>
      </c>
      <c r="T8" s="54">
        <f t="shared" si="0"/>
        <v>49.743333333333332</v>
      </c>
      <c r="U8" s="54">
        <f t="shared" si="1"/>
        <v>1.5275252316519529E-2</v>
      </c>
      <c r="V8" s="54">
        <f t="shared" ref="V8:V49" si="7">ABS($E$3-T8)</f>
        <v>0.25666666666666771</v>
      </c>
      <c r="W8" s="2">
        <v>5.03</v>
      </c>
      <c r="X8" s="2">
        <v>5.05</v>
      </c>
      <c r="Y8" s="2">
        <v>5.0199999999999996</v>
      </c>
      <c r="Z8" s="54">
        <f t="shared" si="2"/>
        <v>5.0333333333333332</v>
      </c>
      <c r="AA8" s="54">
        <f t="shared" si="3"/>
        <v>1.5275252316519529E-2</v>
      </c>
      <c r="AB8" s="54">
        <f t="shared" ref="AB8:AB49" si="8">ABS($E$4-Z8)</f>
        <v>3.3333333333333215E-2</v>
      </c>
      <c r="AC8" s="50">
        <v>69.601900000000001</v>
      </c>
      <c r="AD8" s="50">
        <f t="shared" ref="AD8:AD49" si="9">ABS($E$2-AC8)</f>
        <v>0.39809999999999945</v>
      </c>
      <c r="AE8" s="50">
        <v>49.555300000000003</v>
      </c>
      <c r="AF8" s="50">
        <f t="shared" ref="AF8:AF49" si="10">ABS($E$3-AE8)</f>
        <v>0.44469999999999743</v>
      </c>
      <c r="AG8" s="50">
        <v>5.4961000000000002</v>
      </c>
      <c r="AH8" s="50">
        <f t="shared" ref="AH8:AH49" si="11">ABS($E$4-AG8)</f>
        <v>0.49610000000000021</v>
      </c>
      <c r="AI8" s="54">
        <v>6.02</v>
      </c>
      <c r="AJ8" s="54">
        <v>5.4359999999999999</v>
      </c>
      <c r="AK8" s="54">
        <f t="shared" ref="AK8:AK49" si="12">AVERAGE(AI8:AJ8)</f>
        <v>5.7279999999999998</v>
      </c>
      <c r="AL8" s="54">
        <f t="shared" ref="AL8:AL49" si="13">_xlfn.STDEV.S(AI8:AJ8)</f>
        <v>0.41295036021294351</v>
      </c>
      <c r="AM8" s="54">
        <v>7.44</v>
      </c>
      <c r="AN8" s="54">
        <v>8.4789999999999992</v>
      </c>
      <c r="AO8" s="54">
        <f t="shared" ref="AO8:AO49" si="14">AVERAGE(AM8:AN8)</f>
        <v>7.9595000000000002</v>
      </c>
      <c r="AP8" s="54">
        <f t="shared" ref="AP8:AP49" si="15">_xlfn.STDEV.S(AM8:AN8)</f>
        <v>0.73468394565282202</v>
      </c>
      <c r="AQ8" s="54">
        <v>8.907</v>
      </c>
      <c r="AR8" s="54">
        <v>7.8529999999999998</v>
      </c>
      <c r="AS8" s="54">
        <f t="shared" ref="AS8:AS49" si="16">AVERAGE(AQ8:AR8)</f>
        <v>8.379999999999999</v>
      </c>
      <c r="AT8" s="54">
        <f t="shared" ref="AT8:AT49" si="17">_xlfn.STDEV.S(AQ8:AR8)</f>
        <v>0.74529054737062128</v>
      </c>
      <c r="AU8" s="54">
        <v>10.853</v>
      </c>
      <c r="AV8" s="54">
        <v>12.069000000000001</v>
      </c>
      <c r="AW8" s="54">
        <f t="shared" ref="AW8:AW49" si="18">AVERAGE(AU8:AV8)</f>
        <v>11.461</v>
      </c>
      <c r="AX8" s="54">
        <f t="shared" ref="AX8:AX49" si="19">_xlfn.STDEV.S(AU8:AV8)</f>
        <v>0.85984184592284252</v>
      </c>
      <c r="AY8" s="54">
        <v>48.341999999999999</v>
      </c>
      <c r="AZ8" s="54">
        <v>38.953000000000003</v>
      </c>
      <c r="BA8" s="54">
        <f t="shared" ref="BA8:BA49" si="20">AVERAGE(AY8:AZ8)</f>
        <v>43.647500000000001</v>
      </c>
      <c r="BB8" s="54">
        <f t="shared" ref="BB8:BB49" si="21">_xlfn.STDEV.S(AY8:AZ8)</f>
        <v>6.639025568560486</v>
      </c>
      <c r="BC8" s="54">
        <v>60.902999999999999</v>
      </c>
      <c r="BD8" s="54">
        <v>63.468000000000004</v>
      </c>
      <c r="BE8" s="54">
        <f t="shared" ref="BE8:BE49" si="22">AVERAGE(BC8:BD8)</f>
        <v>62.185500000000005</v>
      </c>
      <c r="BF8" s="54">
        <f t="shared" ref="BF8:BF49" si="23">_xlfn.STDEV.S(BC8:BD8)</f>
        <v>1.8137288937434979</v>
      </c>
      <c r="BG8" s="2">
        <v>24.9</v>
      </c>
      <c r="BH8" s="2">
        <v>25.5</v>
      </c>
      <c r="BI8" s="2">
        <v>25.5</v>
      </c>
      <c r="BJ8" s="37">
        <f t="shared" ref="BJ8:BJ21" si="24">AVERAGE(BG8:BI8)</f>
        <v>25.3</v>
      </c>
      <c r="BK8" s="2">
        <f t="shared" ref="BK8:BK21" si="25">_xlfn.STDEV.S(BG8:BI8)</f>
        <v>0.34641016151377624</v>
      </c>
      <c r="BL8" s="8">
        <v>0.68</v>
      </c>
      <c r="BM8" s="8">
        <v>0.66</v>
      </c>
      <c r="BN8" s="8">
        <v>0.67</v>
      </c>
      <c r="BO8" s="8">
        <f>AVERAGE(BL8:BN8)</f>
        <v>0.67</v>
      </c>
      <c r="BP8" s="9">
        <f>_xlfn.STDEV.S(BL8:BN8)</f>
        <v>1.0000000000000009E-2</v>
      </c>
      <c r="BQ8" s="10">
        <v>30</v>
      </c>
      <c r="BR8" s="10">
        <v>34</v>
      </c>
      <c r="BS8" s="10">
        <v>5</v>
      </c>
      <c r="BT8" s="10">
        <v>2</v>
      </c>
      <c r="BU8" s="10">
        <f>SUM(BR8:BT8)</f>
        <v>41</v>
      </c>
      <c r="BV8" s="10">
        <v>10.39</v>
      </c>
      <c r="BW8" s="10">
        <v>3.48</v>
      </c>
      <c r="BX8" s="10">
        <v>8.3800000000000008</v>
      </c>
      <c r="BY8" s="38">
        <v>45993</v>
      </c>
      <c r="BZ8" s="3" t="s">
        <v>84</v>
      </c>
      <c r="CA8" s="16"/>
    </row>
    <row r="9" spans="2:79" ht="14.25" x14ac:dyDescent="0.2">
      <c r="B9" s="3">
        <v>1</v>
      </c>
      <c r="C9" s="3">
        <v>1</v>
      </c>
      <c r="D9" s="4">
        <v>3</v>
      </c>
      <c r="E9" s="3">
        <v>190</v>
      </c>
      <c r="F9" s="3">
        <v>200</v>
      </c>
      <c r="G9" s="3">
        <v>0.2</v>
      </c>
      <c r="H9" s="3">
        <v>30</v>
      </c>
      <c r="I9" s="3" t="s">
        <v>86</v>
      </c>
      <c r="J9" s="3">
        <v>10</v>
      </c>
      <c r="K9" s="2">
        <v>69.81</v>
      </c>
      <c r="L9" s="2">
        <v>69.819999999999993</v>
      </c>
      <c r="M9" s="2">
        <v>69.819999999999993</v>
      </c>
      <c r="N9" s="54">
        <f t="shared" si="4"/>
        <v>69.816666666666663</v>
      </c>
      <c r="O9" s="54">
        <f t="shared" si="5"/>
        <v>5.773502691891007E-3</v>
      </c>
      <c r="P9" s="54">
        <f t="shared" si="6"/>
        <v>0.18333333333333712</v>
      </c>
      <c r="Q9" s="2">
        <v>49.78</v>
      </c>
      <c r="R9" s="2">
        <v>49.79</v>
      </c>
      <c r="S9" s="2">
        <v>49.78</v>
      </c>
      <c r="T9" s="54">
        <f t="shared" si="0"/>
        <v>49.783333333333331</v>
      </c>
      <c r="U9" s="54">
        <f t="shared" si="1"/>
        <v>5.7735026918951087E-3</v>
      </c>
      <c r="V9" s="54">
        <f t="shared" si="7"/>
        <v>0.21666666666666856</v>
      </c>
      <c r="W9" s="2">
        <v>5.03</v>
      </c>
      <c r="X9" s="2">
        <v>5.03</v>
      </c>
      <c r="Y9" s="2">
        <v>5.0199999999999996</v>
      </c>
      <c r="Z9" s="54">
        <f t="shared" si="2"/>
        <v>5.0266666666666664</v>
      </c>
      <c r="AA9" s="54">
        <f t="shared" si="3"/>
        <v>5.7735026918966474E-3</v>
      </c>
      <c r="AB9" s="54">
        <f t="shared" si="8"/>
        <v>2.6666666666666394E-2</v>
      </c>
      <c r="AC9" s="50">
        <v>69.770899999999997</v>
      </c>
      <c r="AD9" s="50">
        <f t="shared" si="9"/>
        <v>0.22910000000000252</v>
      </c>
      <c r="AE9" s="50">
        <v>49.464599999999997</v>
      </c>
      <c r="AF9" s="50">
        <f t="shared" si="10"/>
        <v>0.53540000000000276</v>
      </c>
      <c r="AG9" s="50">
        <v>5.0415000000000001</v>
      </c>
      <c r="AH9" s="50">
        <f t="shared" si="11"/>
        <v>4.1500000000000092E-2</v>
      </c>
      <c r="AI9" s="54">
        <v>4.899</v>
      </c>
      <c r="AJ9" s="54">
        <v>5.6660000000000004</v>
      </c>
      <c r="AK9" s="54">
        <f t="shared" si="12"/>
        <v>5.2825000000000006</v>
      </c>
      <c r="AL9" s="54">
        <f t="shared" si="13"/>
        <v>0.54235090117008222</v>
      </c>
      <c r="AM9" s="54">
        <v>4.915</v>
      </c>
      <c r="AN9" s="54">
        <v>5.1100000000000003</v>
      </c>
      <c r="AO9" s="54">
        <f t="shared" si="14"/>
        <v>5.0125000000000002</v>
      </c>
      <c r="AP9" s="54">
        <f t="shared" si="15"/>
        <v>0.13788582233137697</v>
      </c>
      <c r="AQ9" s="54">
        <v>5.6280000000000001</v>
      </c>
      <c r="AR9" s="54">
        <v>6.7489999999999997</v>
      </c>
      <c r="AS9" s="54">
        <f t="shared" si="16"/>
        <v>6.1884999999999994</v>
      </c>
      <c r="AT9" s="54">
        <f t="shared" si="17"/>
        <v>0.79266670171011944</v>
      </c>
      <c r="AU9" s="54">
        <v>6.133</v>
      </c>
      <c r="AV9" s="54">
        <v>6.157</v>
      </c>
      <c r="AW9" s="54">
        <f t="shared" si="18"/>
        <v>6.1449999999999996</v>
      </c>
      <c r="AX9" s="54">
        <f t="shared" si="19"/>
        <v>1.6970562748477157E-2</v>
      </c>
      <c r="AY9" s="54">
        <v>19.998000000000001</v>
      </c>
      <c r="AZ9" s="54">
        <v>25.17</v>
      </c>
      <c r="BA9" s="54">
        <f t="shared" si="20"/>
        <v>22.584000000000003</v>
      </c>
      <c r="BB9" s="54">
        <f t="shared" si="21"/>
        <v>3.6571562722968336</v>
      </c>
      <c r="BC9" s="54">
        <v>28.401</v>
      </c>
      <c r="BD9" s="54">
        <v>27.454999999999998</v>
      </c>
      <c r="BE9" s="54">
        <f t="shared" si="22"/>
        <v>27.927999999999997</v>
      </c>
      <c r="BF9" s="54">
        <f t="shared" si="23"/>
        <v>0.66892301500247509</v>
      </c>
      <c r="BG9" s="2">
        <v>25.3</v>
      </c>
      <c r="BH9" s="2">
        <v>25.7</v>
      </c>
      <c r="BI9" s="2">
        <v>25.5</v>
      </c>
      <c r="BJ9" s="37">
        <f t="shared" si="24"/>
        <v>25.5</v>
      </c>
      <c r="BK9" s="2">
        <f t="shared" si="25"/>
        <v>0.19999999999999929</v>
      </c>
      <c r="BL9" s="8">
        <v>0.68</v>
      </c>
      <c r="BM9" s="8">
        <v>0.68</v>
      </c>
      <c r="BN9" s="8">
        <v>0.67</v>
      </c>
      <c r="BO9" s="8">
        <f t="shared" ref="BO9:BO23" si="26">AVERAGE(BL9:BN9)</f>
        <v>0.67666666666666675</v>
      </c>
      <c r="BP9" s="9">
        <f t="shared" ref="BP9:BP23" si="27">_xlfn.STDEV.S(BL9:BN9)</f>
        <v>5.7735026918962623E-3</v>
      </c>
      <c r="BQ9" s="10">
        <v>53</v>
      </c>
      <c r="BR9" s="10">
        <v>57</v>
      </c>
      <c r="BS9" s="10">
        <v>5</v>
      </c>
      <c r="BT9" s="10">
        <v>2</v>
      </c>
      <c r="BU9" s="10">
        <f t="shared" ref="BU9:BU49" si="28">SUM(BR9:BT9)</f>
        <v>64</v>
      </c>
      <c r="BV9" s="10">
        <v>10.36</v>
      </c>
      <c r="BW9" s="10">
        <v>3.47</v>
      </c>
      <c r="BX9" s="10">
        <v>8.35</v>
      </c>
      <c r="BY9" s="38">
        <v>45993</v>
      </c>
      <c r="BZ9" s="3" t="s">
        <v>84</v>
      </c>
      <c r="CA9" s="16"/>
    </row>
    <row r="10" spans="2:79" ht="14.25" x14ac:dyDescent="0.2">
      <c r="B10" s="3">
        <v>-1</v>
      </c>
      <c r="C10" s="3">
        <v>-1</v>
      </c>
      <c r="D10" s="4">
        <v>4</v>
      </c>
      <c r="E10" s="3">
        <v>200</v>
      </c>
      <c r="F10" s="3">
        <v>200</v>
      </c>
      <c r="G10" s="3">
        <v>0.2</v>
      </c>
      <c r="H10" s="3">
        <v>75</v>
      </c>
      <c r="I10" s="3" t="s">
        <v>85</v>
      </c>
      <c r="J10" s="3">
        <v>20</v>
      </c>
      <c r="K10" s="2">
        <v>69.8</v>
      </c>
      <c r="L10" s="2">
        <v>69.73</v>
      </c>
      <c r="M10" s="2">
        <v>69.790000000000006</v>
      </c>
      <c r="N10" s="54">
        <f t="shared" si="4"/>
        <v>69.773333333333326</v>
      </c>
      <c r="O10" s="54">
        <f t="shared" si="5"/>
        <v>3.7859388971999919E-2</v>
      </c>
      <c r="P10" s="54">
        <f>ABS($E$2-N10)</f>
        <v>0.22666666666667368</v>
      </c>
      <c r="Q10" s="2">
        <v>49.69</v>
      </c>
      <c r="R10" s="2">
        <v>49.68</v>
      </c>
      <c r="S10" s="2">
        <v>49.7</v>
      </c>
      <c r="T10" s="54">
        <f t="shared" si="0"/>
        <v>49.69</v>
      </c>
      <c r="U10" s="54">
        <f t="shared" si="1"/>
        <v>1.0000000000001563E-2</v>
      </c>
      <c r="V10" s="54">
        <f t="shared" si="7"/>
        <v>0.31000000000000227</v>
      </c>
      <c r="W10" s="2">
        <v>5.01</v>
      </c>
      <c r="X10" s="2">
        <v>5.03</v>
      </c>
      <c r="Y10" s="2">
        <v>5</v>
      </c>
      <c r="Z10" s="54">
        <f t="shared" si="2"/>
        <v>5.0133333333333328</v>
      </c>
      <c r="AA10" s="54">
        <f t="shared" si="3"/>
        <v>1.5275252316519626E-2</v>
      </c>
      <c r="AB10" s="54">
        <f t="shared" si="8"/>
        <v>1.3333333333332753E-2</v>
      </c>
      <c r="AC10" s="50">
        <v>69.629800000000003</v>
      </c>
      <c r="AD10" s="50">
        <f t="shared" si="9"/>
        <v>0.37019999999999698</v>
      </c>
      <c r="AE10" s="50">
        <v>49.618200000000002</v>
      </c>
      <c r="AF10" s="50">
        <f t="shared" si="10"/>
        <v>0.38179999999999836</v>
      </c>
      <c r="AG10" s="50">
        <v>5.2335000000000003</v>
      </c>
      <c r="AH10" s="50">
        <f t="shared" si="11"/>
        <v>0.23350000000000026</v>
      </c>
      <c r="AI10" s="54">
        <v>7.1150000000000002</v>
      </c>
      <c r="AJ10" s="54">
        <v>5.8520000000000003</v>
      </c>
      <c r="AK10" s="54">
        <f t="shared" si="12"/>
        <v>6.4835000000000003</v>
      </c>
      <c r="AL10" s="54">
        <f t="shared" si="13"/>
        <v>0.89307586463860944</v>
      </c>
      <c r="AM10" s="54">
        <v>7.8550000000000004</v>
      </c>
      <c r="AN10" s="54">
        <v>7.3940000000000001</v>
      </c>
      <c r="AO10" s="54">
        <f t="shared" si="14"/>
        <v>7.6245000000000003</v>
      </c>
      <c r="AP10" s="54">
        <f t="shared" si="15"/>
        <v>0.32597622612699861</v>
      </c>
      <c r="AQ10" s="54">
        <v>8.3140000000000001</v>
      </c>
      <c r="AR10" s="54">
        <v>7.3390000000000004</v>
      </c>
      <c r="AS10" s="54">
        <f t="shared" si="16"/>
        <v>7.8265000000000002</v>
      </c>
      <c r="AT10" s="54">
        <f t="shared" si="17"/>
        <v>0.68942911165688359</v>
      </c>
      <c r="AU10" s="54">
        <v>9.35</v>
      </c>
      <c r="AV10" s="54">
        <v>9.0129999999999999</v>
      </c>
      <c r="AW10" s="54">
        <f t="shared" si="18"/>
        <v>9.1814999999999998</v>
      </c>
      <c r="AX10" s="54">
        <f t="shared" si="19"/>
        <v>0.23829498525986634</v>
      </c>
      <c r="AY10" s="54">
        <v>32.875999999999998</v>
      </c>
      <c r="AZ10" s="54">
        <v>36.378999999999998</v>
      </c>
      <c r="BA10" s="54">
        <f t="shared" si="20"/>
        <v>34.627499999999998</v>
      </c>
      <c r="BB10" s="54">
        <f t="shared" si="21"/>
        <v>2.4769950544964763</v>
      </c>
      <c r="BC10" s="54">
        <v>38.470999999999997</v>
      </c>
      <c r="BD10" s="54">
        <v>39.511000000000003</v>
      </c>
      <c r="BE10" s="54">
        <f t="shared" si="22"/>
        <v>38.991</v>
      </c>
      <c r="BF10" s="54">
        <f t="shared" si="23"/>
        <v>0.73539105243401381</v>
      </c>
      <c r="BG10" s="2">
        <v>25.1</v>
      </c>
      <c r="BH10" s="2">
        <v>25.4</v>
      </c>
      <c r="BI10" s="2">
        <v>25.4</v>
      </c>
      <c r="BJ10" s="37">
        <f t="shared" si="24"/>
        <v>25.3</v>
      </c>
      <c r="BK10" s="2">
        <f t="shared" si="25"/>
        <v>0.17320508075688609</v>
      </c>
      <c r="BL10" s="8">
        <v>0.68</v>
      </c>
      <c r="BM10" s="8">
        <v>0.67</v>
      </c>
      <c r="BN10" s="8">
        <v>0.66</v>
      </c>
      <c r="BO10" s="8">
        <f t="shared" si="26"/>
        <v>0.67</v>
      </c>
      <c r="BP10" s="9">
        <f t="shared" si="27"/>
        <v>1.0000000000000009E-2</v>
      </c>
      <c r="BQ10" s="10">
        <v>27</v>
      </c>
      <c r="BR10" s="10">
        <v>33</v>
      </c>
      <c r="BS10" s="10">
        <v>5</v>
      </c>
      <c r="BT10" s="10">
        <v>2</v>
      </c>
      <c r="BU10" s="10">
        <f t="shared" si="28"/>
        <v>40</v>
      </c>
      <c r="BV10" s="10">
        <v>11.7</v>
      </c>
      <c r="BW10" s="10">
        <v>3.92</v>
      </c>
      <c r="BX10" s="10">
        <v>9.44</v>
      </c>
      <c r="BY10" s="38">
        <v>45993</v>
      </c>
      <c r="BZ10" s="3" t="s">
        <v>84</v>
      </c>
      <c r="CA10" s="16"/>
    </row>
    <row r="11" spans="2:79" ht="14.25" x14ac:dyDescent="0.2">
      <c r="B11" s="3">
        <v>1</v>
      </c>
      <c r="C11" s="3">
        <v>1</v>
      </c>
      <c r="D11" s="4">
        <v>5</v>
      </c>
      <c r="E11" s="3">
        <v>190</v>
      </c>
      <c r="F11" s="3">
        <v>100</v>
      </c>
      <c r="G11" s="3">
        <v>0.1</v>
      </c>
      <c r="H11" s="3">
        <v>120</v>
      </c>
      <c r="I11" s="3" t="s">
        <v>86</v>
      </c>
      <c r="J11" s="3">
        <v>10</v>
      </c>
      <c r="K11" s="2">
        <v>69.87</v>
      </c>
      <c r="L11" s="2">
        <v>69.849999999999994</v>
      </c>
      <c r="M11" s="2">
        <v>69.86</v>
      </c>
      <c r="N11" s="54">
        <f t="shared" si="4"/>
        <v>69.86</v>
      </c>
      <c r="O11" s="54">
        <f t="shared" si="5"/>
        <v>1.0000000000005116E-2</v>
      </c>
      <c r="P11" s="54">
        <f t="shared" si="6"/>
        <v>0.14000000000000057</v>
      </c>
      <c r="Q11" s="2">
        <v>49.81</v>
      </c>
      <c r="R11" s="2">
        <v>49.8</v>
      </c>
      <c r="S11" s="2">
        <v>49.8</v>
      </c>
      <c r="T11" s="54">
        <f t="shared" si="0"/>
        <v>49.803333333333335</v>
      </c>
      <c r="U11" s="54">
        <f t="shared" si="1"/>
        <v>5.7735026918992113E-3</v>
      </c>
      <c r="V11" s="54">
        <f t="shared" si="7"/>
        <v>0.19666666666666544</v>
      </c>
      <c r="W11" s="2">
        <v>5.09</v>
      </c>
      <c r="X11" s="2">
        <v>5.0999999999999996</v>
      </c>
      <c r="Y11" s="2">
        <v>5.09</v>
      </c>
      <c r="Z11" s="54">
        <f t="shared" si="2"/>
        <v>5.0933333333333328</v>
      </c>
      <c r="AA11" s="54">
        <f t="shared" si="3"/>
        <v>5.7735026918961348E-3</v>
      </c>
      <c r="AB11" s="54">
        <f t="shared" si="8"/>
        <v>9.3333333333332824E-2</v>
      </c>
      <c r="AC11" s="50">
        <v>69.819100000000006</v>
      </c>
      <c r="AD11" s="50">
        <f t="shared" si="9"/>
        <v>0.18089999999999407</v>
      </c>
      <c r="AE11" s="50">
        <v>49.2746</v>
      </c>
      <c r="AF11" s="50">
        <f t="shared" si="10"/>
        <v>0.72540000000000049</v>
      </c>
      <c r="AG11" s="50">
        <v>5.5526</v>
      </c>
      <c r="AH11" s="50">
        <f t="shared" si="11"/>
        <v>0.55259999999999998</v>
      </c>
      <c r="AI11" s="54">
        <v>3.266</v>
      </c>
      <c r="AJ11" s="54">
        <v>7.6630000000000003</v>
      </c>
      <c r="AK11" s="54">
        <f t="shared" si="12"/>
        <v>5.4645000000000001</v>
      </c>
      <c r="AL11" s="54">
        <f t="shared" si="13"/>
        <v>3.1091485168772501</v>
      </c>
      <c r="AM11" s="54">
        <v>3.306</v>
      </c>
      <c r="AN11" s="54">
        <v>3.0619999999999998</v>
      </c>
      <c r="AO11" s="54">
        <f t="shared" si="14"/>
        <v>3.1840000000000002</v>
      </c>
      <c r="AP11" s="54">
        <f t="shared" si="15"/>
        <v>0.17253405460951773</v>
      </c>
      <c r="AQ11" s="54">
        <v>4.141</v>
      </c>
      <c r="AR11" s="54">
        <v>10.71</v>
      </c>
      <c r="AS11" s="54">
        <f t="shared" si="16"/>
        <v>7.4255000000000004</v>
      </c>
      <c r="AT11" s="54">
        <f t="shared" si="17"/>
        <v>4.6449844456144316</v>
      </c>
      <c r="AU11" s="54">
        <v>4.3659999999999997</v>
      </c>
      <c r="AV11" s="54">
        <v>4.2240000000000002</v>
      </c>
      <c r="AW11" s="54">
        <f t="shared" si="18"/>
        <v>4.2949999999999999</v>
      </c>
      <c r="AX11" s="54">
        <f t="shared" si="19"/>
        <v>0.10040916292848936</v>
      </c>
      <c r="AY11" s="54">
        <v>21.141999999999999</v>
      </c>
      <c r="AZ11" s="54">
        <v>47.399000000000001</v>
      </c>
      <c r="BA11" s="54">
        <f t="shared" si="20"/>
        <v>34.270499999999998</v>
      </c>
      <c r="BB11" s="54">
        <f t="shared" si="21"/>
        <v>18.566502753615186</v>
      </c>
      <c r="BC11" s="54">
        <v>25.754000000000001</v>
      </c>
      <c r="BD11" s="54">
        <v>26.448</v>
      </c>
      <c r="BE11" s="54">
        <f t="shared" si="22"/>
        <v>26.100999999999999</v>
      </c>
      <c r="BF11" s="54">
        <f t="shared" si="23"/>
        <v>0.49073210614346335</v>
      </c>
      <c r="BG11" s="2">
        <v>25.1</v>
      </c>
      <c r="BH11" s="2">
        <v>25.5</v>
      </c>
      <c r="BI11" s="2">
        <v>25.5</v>
      </c>
      <c r="BJ11" s="37">
        <f t="shared" si="24"/>
        <v>25.366666666666664</v>
      </c>
      <c r="BK11" s="2">
        <f t="shared" si="25"/>
        <v>0.23094010767584949</v>
      </c>
      <c r="BL11" s="8">
        <v>0.67</v>
      </c>
      <c r="BM11" s="8">
        <v>0.66</v>
      </c>
      <c r="BN11" s="8">
        <v>0.67</v>
      </c>
      <c r="BO11" s="8">
        <f t="shared" si="26"/>
        <v>0.66666666666666663</v>
      </c>
      <c r="BP11" s="9">
        <f t="shared" si="27"/>
        <v>5.7735026918962632E-3</v>
      </c>
      <c r="BQ11" s="10">
        <v>25</v>
      </c>
      <c r="BR11" s="10">
        <v>28</v>
      </c>
      <c r="BS11" s="10">
        <v>5</v>
      </c>
      <c r="BT11" s="10">
        <v>2</v>
      </c>
      <c r="BU11" s="10">
        <f t="shared" si="28"/>
        <v>35</v>
      </c>
      <c r="BV11" s="10">
        <v>8.61</v>
      </c>
      <c r="BW11" s="10">
        <v>2.89</v>
      </c>
      <c r="BX11" s="10">
        <v>6.94</v>
      </c>
      <c r="BY11" s="38">
        <v>45993</v>
      </c>
      <c r="BZ11" s="3" t="s">
        <v>84</v>
      </c>
      <c r="CA11" s="16"/>
    </row>
    <row r="12" spans="2:79" ht="14.25" x14ac:dyDescent="0.2">
      <c r="B12" s="3">
        <v>1</v>
      </c>
      <c r="C12" s="3">
        <v>1</v>
      </c>
      <c r="D12" s="4">
        <v>6</v>
      </c>
      <c r="E12" s="3">
        <v>190</v>
      </c>
      <c r="F12" s="3">
        <v>100</v>
      </c>
      <c r="G12" s="3">
        <v>0.1</v>
      </c>
      <c r="H12" s="3">
        <v>120</v>
      </c>
      <c r="I12" s="3" t="s">
        <v>83</v>
      </c>
      <c r="J12" s="3">
        <v>10</v>
      </c>
      <c r="K12" s="2">
        <v>69.88</v>
      </c>
      <c r="L12" s="2">
        <v>69.900000000000006</v>
      </c>
      <c r="M12" s="2">
        <v>69.91</v>
      </c>
      <c r="N12" s="54">
        <f t="shared" si="4"/>
        <v>69.896666666666661</v>
      </c>
      <c r="O12" s="54">
        <f t="shared" si="5"/>
        <v>1.5275252316521078E-2</v>
      </c>
      <c r="P12" s="54">
        <f t="shared" si="6"/>
        <v>0.10333333333333883</v>
      </c>
      <c r="Q12" s="2">
        <v>49.86</v>
      </c>
      <c r="R12" s="2">
        <v>49.84</v>
      </c>
      <c r="S12" s="2">
        <v>49.89</v>
      </c>
      <c r="T12" s="54">
        <f t="shared" si="0"/>
        <v>49.863333333333337</v>
      </c>
      <c r="U12" s="54">
        <f t="shared" si="1"/>
        <v>2.516611478423459E-2</v>
      </c>
      <c r="V12" s="54">
        <f t="shared" si="7"/>
        <v>0.13666666666666316</v>
      </c>
      <c r="W12" s="2">
        <v>5.08</v>
      </c>
      <c r="X12" s="2">
        <v>5.0599999999999996</v>
      </c>
      <c r="Y12" s="2">
        <v>5.09</v>
      </c>
      <c r="Z12" s="54">
        <f t="shared" si="2"/>
        <v>5.0766666666666671</v>
      </c>
      <c r="AA12" s="54">
        <f t="shared" si="3"/>
        <v>1.5275252316519626E-2</v>
      </c>
      <c r="AB12" s="54">
        <f t="shared" si="8"/>
        <v>7.6666666666667105E-2</v>
      </c>
      <c r="AC12" s="50">
        <v>69.696700000000007</v>
      </c>
      <c r="AD12" s="50">
        <f t="shared" si="9"/>
        <v>0.30329999999999302</v>
      </c>
      <c r="AE12" s="50">
        <v>49.4514</v>
      </c>
      <c r="AF12" s="50">
        <f t="shared" si="10"/>
        <v>0.54860000000000042</v>
      </c>
      <c r="AG12" s="50">
        <v>5.2290999999999999</v>
      </c>
      <c r="AH12" s="50">
        <f t="shared" si="11"/>
        <v>0.22909999999999986</v>
      </c>
      <c r="AI12" s="54">
        <v>3.0619999999999998</v>
      </c>
      <c r="AJ12" s="54">
        <v>2.556</v>
      </c>
      <c r="AK12" s="54">
        <f t="shared" si="12"/>
        <v>2.8090000000000002</v>
      </c>
      <c r="AL12" s="54">
        <f t="shared" si="13"/>
        <v>0.35779603128039289</v>
      </c>
      <c r="AM12" s="54">
        <v>4.33</v>
      </c>
      <c r="AN12" s="54">
        <v>3.8330000000000002</v>
      </c>
      <c r="AO12" s="54">
        <f t="shared" si="14"/>
        <v>4.0815000000000001</v>
      </c>
      <c r="AP12" s="54">
        <f t="shared" si="15"/>
        <v>0.35143207024971407</v>
      </c>
      <c r="AQ12" s="54">
        <v>4.2080000000000002</v>
      </c>
      <c r="AR12" s="54">
        <v>3.89</v>
      </c>
      <c r="AS12" s="54">
        <f t="shared" si="16"/>
        <v>4.0490000000000004</v>
      </c>
      <c r="AT12" s="54">
        <f t="shared" si="17"/>
        <v>0.22485995641732218</v>
      </c>
      <c r="AU12" s="54">
        <v>5.9059999999999997</v>
      </c>
      <c r="AV12" s="54">
        <v>4.9690000000000003</v>
      </c>
      <c r="AW12" s="54">
        <f t="shared" si="18"/>
        <v>5.4375</v>
      </c>
      <c r="AX12" s="54">
        <f t="shared" si="19"/>
        <v>0.6625590539717946</v>
      </c>
      <c r="AY12" s="54">
        <v>25.181999999999999</v>
      </c>
      <c r="AZ12" s="54">
        <v>23.481999999999999</v>
      </c>
      <c r="BA12" s="54">
        <f t="shared" si="20"/>
        <v>24.332000000000001</v>
      </c>
      <c r="BB12" s="54">
        <f t="shared" si="21"/>
        <v>1.2020815280171302</v>
      </c>
      <c r="BC12" s="54">
        <v>36.307000000000002</v>
      </c>
      <c r="BD12" s="54">
        <v>28.911000000000001</v>
      </c>
      <c r="BE12" s="54">
        <f t="shared" si="22"/>
        <v>32.609000000000002</v>
      </c>
      <c r="BF12" s="54">
        <f t="shared" si="23"/>
        <v>5.2297617536556853</v>
      </c>
      <c r="BG12" s="2">
        <v>24.9</v>
      </c>
      <c r="BH12" s="2">
        <v>25.7</v>
      </c>
      <c r="BI12" s="2">
        <v>25.5</v>
      </c>
      <c r="BJ12" s="37">
        <f t="shared" si="24"/>
        <v>25.366666666666664</v>
      </c>
      <c r="BK12" s="2">
        <f t="shared" si="25"/>
        <v>0.41633319989322704</v>
      </c>
      <c r="BL12" s="8">
        <v>0.68</v>
      </c>
      <c r="BM12" s="8">
        <v>0.67</v>
      </c>
      <c r="BN12" s="8">
        <v>0.67</v>
      </c>
      <c r="BO12" s="8">
        <f t="shared" si="26"/>
        <v>0.67333333333333334</v>
      </c>
      <c r="BP12" s="9">
        <f t="shared" si="27"/>
        <v>5.7735026918962623E-3</v>
      </c>
      <c r="BQ12" s="10">
        <v>25</v>
      </c>
      <c r="BR12" s="10">
        <v>29</v>
      </c>
      <c r="BS12" s="10">
        <v>5</v>
      </c>
      <c r="BT12" s="10">
        <v>2</v>
      </c>
      <c r="BU12" s="10">
        <f t="shared" si="28"/>
        <v>36</v>
      </c>
      <c r="BV12" s="10">
        <v>8.61</v>
      </c>
      <c r="BW12" s="10">
        <v>2.89</v>
      </c>
      <c r="BX12" s="10">
        <v>6.94</v>
      </c>
      <c r="BY12" s="38">
        <v>45993</v>
      </c>
      <c r="BZ12" s="3" t="s">
        <v>84</v>
      </c>
      <c r="CA12" s="16"/>
    </row>
    <row r="13" spans="2:79" ht="14.25" x14ac:dyDescent="0.2">
      <c r="B13" s="3">
        <v>1</v>
      </c>
      <c r="C13" s="3">
        <v>1</v>
      </c>
      <c r="D13" s="4">
        <v>7</v>
      </c>
      <c r="E13" s="3">
        <v>190</v>
      </c>
      <c r="F13" s="3">
        <v>100</v>
      </c>
      <c r="G13" s="3">
        <v>0.1</v>
      </c>
      <c r="H13" s="3">
        <v>30</v>
      </c>
      <c r="I13" s="3" t="s">
        <v>83</v>
      </c>
      <c r="J13" s="3">
        <v>10</v>
      </c>
      <c r="K13" s="2">
        <v>69.81</v>
      </c>
      <c r="L13" s="2">
        <v>69.849999999999994</v>
      </c>
      <c r="M13" s="2">
        <v>69.84</v>
      </c>
      <c r="N13" s="54">
        <f t="shared" si="4"/>
        <v>69.833333333333329</v>
      </c>
      <c r="O13" s="54">
        <f t="shared" si="5"/>
        <v>2.0816659994658322E-2</v>
      </c>
      <c r="P13" s="54">
        <f t="shared" si="6"/>
        <v>0.1666666666666714</v>
      </c>
      <c r="Q13" s="3">
        <v>49.73</v>
      </c>
      <c r="R13" s="3">
        <v>49.77</v>
      </c>
      <c r="S13" s="3">
        <v>49.76</v>
      </c>
      <c r="T13" s="54">
        <f t="shared" ref="T13:T49" si="29">AVERAGE(Q13:S13)</f>
        <v>49.75333333333333</v>
      </c>
      <c r="U13" s="54">
        <f t="shared" ref="U13:U49" si="30">_xlfn.STDEV.S(Q13:S13)</f>
        <v>2.0816659994664012E-2</v>
      </c>
      <c r="V13" s="54">
        <f t="shared" si="7"/>
        <v>0.2466666666666697</v>
      </c>
      <c r="W13" s="3">
        <v>5.0599999999999996</v>
      </c>
      <c r="X13" s="3">
        <v>5.08</v>
      </c>
      <c r="Y13" s="3">
        <v>5.05</v>
      </c>
      <c r="Z13" s="54">
        <f t="shared" ref="Z13:Z49" si="31">AVERAGE(W13:Y13)</f>
        <v>5.0633333333333335</v>
      </c>
      <c r="AA13" s="54">
        <f t="shared" ref="AA13:AA49" si="32">_xlfn.STDEV.S(W13:Y13)</f>
        <v>1.5275252316519626E-2</v>
      </c>
      <c r="AB13" s="54">
        <f t="shared" si="8"/>
        <v>6.3333333333333464E-2</v>
      </c>
      <c r="AC13" s="50">
        <v>69.795100000000005</v>
      </c>
      <c r="AD13" s="50">
        <f t="shared" si="9"/>
        <v>0.20489999999999498</v>
      </c>
      <c r="AE13" s="50">
        <v>49.358699999999999</v>
      </c>
      <c r="AF13" s="50">
        <f t="shared" si="10"/>
        <v>0.64130000000000109</v>
      </c>
      <c r="AG13" s="50">
        <v>5.0448000000000004</v>
      </c>
      <c r="AH13" s="50">
        <f t="shared" si="11"/>
        <v>4.4800000000000395E-2</v>
      </c>
      <c r="AI13" s="54">
        <v>2.7890000000000001</v>
      </c>
      <c r="AJ13" s="54">
        <v>3.3730000000000002</v>
      </c>
      <c r="AK13" s="54">
        <f t="shared" si="12"/>
        <v>3.0810000000000004</v>
      </c>
      <c r="AL13" s="54">
        <f t="shared" si="13"/>
        <v>0.41295036021294379</v>
      </c>
      <c r="AM13" s="54">
        <v>2.7730000000000001</v>
      </c>
      <c r="AN13" s="54">
        <v>2.6360000000000001</v>
      </c>
      <c r="AO13" s="54">
        <f t="shared" si="14"/>
        <v>2.7045000000000003</v>
      </c>
      <c r="AP13" s="54">
        <f t="shared" si="15"/>
        <v>9.6873629022557015E-2</v>
      </c>
      <c r="AQ13" s="54">
        <v>4.4690000000000003</v>
      </c>
      <c r="AR13" s="54">
        <v>5.2610000000000001</v>
      </c>
      <c r="AS13" s="54">
        <f t="shared" si="16"/>
        <v>4.8650000000000002</v>
      </c>
      <c r="AT13" s="54">
        <f t="shared" si="17"/>
        <v>0.56002857069974554</v>
      </c>
      <c r="AU13" s="54">
        <v>4.0339999999999998</v>
      </c>
      <c r="AV13" s="54">
        <v>3.839</v>
      </c>
      <c r="AW13" s="54">
        <f t="shared" si="18"/>
        <v>3.9364999999999997</v>
      </c>
      <c r="AX13" s="54">
        <f t="shared" si="19"/>
        <v>0.13788582233137667</v>
      </c>
      <c r="AY13" s="54">
        <v>25.323</v>
      </c>
      <c r="AZ13" s="54">
        <v>23.494</v>
      </c>
      <c r="BA13" s="54">
        <f t="shared" si="20"/>
        <v>24.4085</v>
      </c>
      <c r="BB13" s="54">
        <f t="shared" si="21"/>
        <v>1.2932983027901959</v>
      </c>
      <c r="BC13" s="54">
        <v>26.978999999999999</v>
      </c>
      <c r="BD13" s="54">
        <v>24.436</v>
      </c>
      <c r="BE13" s="54">
        <f t="shared" si="22"/>
        <v>25.7075</v>
      </c>
      <c r="BF13" s="54">
        <f t="shared" si="23"/>
        <v>1.7981725445573897</v>
      </c>
      <c r="BG13" s="2">
        <v>24.9</v>
      </c>
      <c r="BH13" s="2">
        <v>25.5</v>
      </c>
      <c r="BI13" s="2">
        <v>25.4</v>
      </c>
      <c r="BJ13" s="37">
        <f t="shared" si="24"/>
        <v>25.266666666666666</v>
      </c>
      <c r="BK13" s="2">
        <f t="shared" si="25"/>
        <v>0.32145502536643233</v>
      </c>
      <c r="BL13" s="8">
        <v>0.69</v>
      </c>
      <c r="BM13" s="8">
        <v>0.67</v>
      </c>
      <c r="BN13" s="8">
        <v>0.66</v>
      </c>
      <c r="BO13" s="8">
        <f t="shared" si="26"/>
        <v>0.67333333333333334</v>
      </c>
      <c r="BP13" s="9">
        <f t="shared" si="27"/>
        <v>1.527525231651942E-2</v>
      </c>
      <c r="BQ13" s="10">
        <v>81</v>
      </c>
      <c r="BR13" s="10">
        <v>85</v>
      </c>
      <c r="BS13" s="10">
        <v>5</v>
      </c>
      <c r="BT13" s="10">
        <v>2</v>
      </c>
      <c r="BU13" s="10">
        <f t="shared" si="28"/>
        <v>92</v>
      </c>
      <c r="BV13" s="10">
        <v>8.61</v>
      </c>
      <c r="BW13" s="10">
        <v>2.89</v>
      </c>
      <c r="BX13" s="10">
        <v>6.94</v>
      </c>
      <c r="BY13" s="38">
        <v>45993</v>
      </c>
      <c r="BZ13" s="3" t="s">
        <v>84</v>
      </c>
      <c r="CA13" s="16"/>
    </row>
    <row r="14" spans="2:79" ht="14.25" x14ac:dyDescent="0.2">
      <c r="B14" s="3">
        <v>1</v>
      </c>
      <c r="C14" s="3">
        <v>1</v>
      </c>
      <c r="D14" s="4">
        <v>8</v>
      </c>
      <c r="E14" s="3">
        <v>210</v>
      </c>
      <c r="F14" s="3">
        <v>100</v>
      </c>
      <c r="G14" s="3">
        <v>0.1</v>
      </c>
      <c r="H14" s="3">
        <v>30</v>
      </c>
      <c r="I14" s="3" t="s">
        <v>83</v>
      </c>
      <c r="J14" s="3">
        <v>30</v>
      </c>
      <c r="K14" s="2">
        <v>69.84</v>
      </c>
      <c r="L14" s="2">
        <v>69.849999999999994</v>
      </c>
      <c r="M14" s="2">
        <v>69.88</v>
      </c>
      <c r="N14" s="54">
        <f t="shared" si="4"/>
        <v>69.856666666666669</v>
      </c>
      <c r="O14" s="54">
        <f t="shared" si="5"/>
        <v>2.0816659994658326E-2</v>
      </c>
      <c r="P14" s="54">
        <f t="shared" si="6"/>
        <v>0.14333333333333087</v>
      </c>
      <c r="Q14" s="3">
        <v>49.77</v>
      </c>
      <c r="R14" s="3">
        <v>49.79</v>
      </c>
      <c r="S14" s="3">
        <v>49.81</v>
      </c>
      <c r="T14" s="54">
        <f t="shared" si="29"/>
        <v>49.79</v>
      </c>
      <c r="U14" s="54">
        <f t="shared" si="30"/>
        <v>1.9999999999999574E-2</v>
      </c>
      <c r="V14" s="54">
        <f t="shared" si="7"/>
        <v>0.21000000000000085</v>
      </c>
      <c r="W14" s="3">
        <v>5.08</v>
      </c>
      <c r="X14" s="3">
        <v>5.0999999999999996</v>
      </c>
      <c r="Y14" s="3">
        <v>5.09</v>
      </c>
      <c r="Z14" s="54">
        <f t="shared" si="31"/>
        <v>5.09</v>
      </c>
      <c r="AA14" s="54">
        <f t="shared" si="32"/>
        <v>9.9999999999997868E-3</v>
      </c>
      <c r="AB14" s="54">
        <f t="shared" si="8"/>
        <v>8.9999999999999858E-2</v>
      </c>
      <c r="AC14" s="50">
        <v>69.653000000000006</v>
      </c>
      <c r="AD14" s="50">
        <f t="shared" si="9"/>
        <v>0.3469999999999942</v>
      </c>
      <c r="AE14" s="50">
        <v>49.716999999999999</v>
      </c>
      <c r="AF14" s="50">
        <f t="shared" si="10"/>
        <v>0.28300000000000125</v>
      </c>
      <c r="AG14" s="50">
        <v>4.9973999999999998</v>
      </c>
      <c r="AH14" s="50">
        <f t="shared" si="11"/>
        <v>2.6000000000001577E-3</v>
      </c>
      <c r="AI14" s="54">
        <v>7.5469999999999997</v>
      </c>
      <c r="AJ14" s="54">
        <v>8.0069999999999997</v>
      </c>
      <c r="AK14" s="54">
        <f t="shared" si="12"/>
        <v>7.7769999999999992</v>
      </c>
      <c r="AL14" s="54">
        <f t="shared" si="13"/>
        <v>0.32526911934581182</v>
      </c>
      <c r="AM14" s="54">
        <v>7.0970000000000004</v>
      </c>
      <c r="AN14" s="54">
        <v>4.9359999999999999</v>
      </c>
      <c r="AO14" s="54">
        <f t="shared" si="14"/>
        <v>6.0165000000000006</v>
      </c>
      <c r="AP14" s="54">
        <f t="shared" si="15"/>
        <v>1.5280577541441271</v>
      </c>
      <c r="AQ14" s="54">
        <v>10.977</v>
      </c>
      <c r="AR14" s="54">
        <v>11.411</v>
      </c>
      <c r="AS14" s="54">
        <f t="shared" si="16"/>
        <v>11.193999999999999</v>
      </c>
      <c r="AT14" s="54">
        <f t="shared" si="17"/>
        <v>0.30688434303496109</v>
      </c>
      <c r="AU14" s="54">
        <v>9.6419999999999995</v>
      </c>
      <c r="AV14" s="54">
        <v>7.6219999999999999</v>
      </c>
      <c r="AW14" s="54">
        <f t="shared" si="18"/>
        <v>8.6319999999999997</v>
      </c>
      <c r="AX14" s="54">
        <f t="shared" si="19"/>
        <v>1.4283556979968255</v>
      </c>
      <c r="AY14" s="54">
        <v>46.542000000000002</v>
      </c>
      <c r="AZ14" s="54">
        <v>47.402999999999999</v>
      </c>
      <c r="BA14" s="54">
        <f t="shared" si="20"/>
        <v>46.972499999999997</v>
      </c>
      <c r="BB14" s="54">
        <f t="shared" si="21"/>
        <v>0.6088189386016154</v>
      </c>
      <c r="BC14" s="54">
        <v>47.942999999999998</v>
      </c>
      <c r="BD14" s="54">
        <v>39.828000000000003</v>
      </c>
      <c r="BE14" s="54">
        <f t="shared" si="22"/>
        <v>43.8855</v>
      </c>
      <c r="BF14" s="54">
        <f t="shared" si="23"/>
        <v>5.73817152932883</v>
      </c>
      <c r="BG14" s="2">
        <v>24.4</v>
      </c>
      <c r="BH14" s="2">
        <v>25.6</v>
      </c>
      <c r="BI14" s="2">
        <v>25.5</v>
      </c>
      <c r="BJ14" s="37">
        <f t="shared" si="24"/>
        <v>25.166666666666668</v>
      </c>
      <c r="BK14" s="2">
        <f t="shared" si="25"/>
        <v>0.66583281184794052</v>
      </c>
      <c r="BL14" s="8">
        <v>0.7</v>
      </c>
      <c r="BM14" s="8">
        <v>0.66</v>
      </c>
      <c r="BN14" s="8">
        <v>0.7</v>
      </c>
      <c r="BO14" s="8">
        <f t="shared" si="26"/>
        <v>0.68666666666666654</v>
      </c>
      <c r="BP14" s="9">
        <f t="shared" si="27"/>
        <v>2.3094010767584987E-2</v>
      </c>
      <c r="BQ14" s="10">
        <v>113</v>
      </c>
      <c r="BR14" s="10">
        <v>117</v>
      </c>
      <c r="BS14" s="10">
        <v>5</v>
      </c>
      <c r="BT14" s="10">
        <v>2</v>
      </c>
      <c r="BU14" s="10">
        <f t="shared" si="28"/>
        <v>124</v>
      </c>
      <c r="BV14" s="10">
        <v>11.67</v>
      </c>
      <c r="BW14" s="10">
        <v>3.91</v>
      </c>
      <c r="BX14" s="10">
        <v>9.41</v>
      </c>
      <c r="BY14" s="38">
        <v>45993</v>
      </c>
      <c r="BZ14" s="3" t="s">
        <v>84</v>
      </c>
      <c r="CA14" s="16"/>
    </row>
    <row r="15" spans="2:79" ht="14.25" x14ac:dyDescent="0.2">
      <c r="B15" s="3">
        <v>1</v>
      </c>
      <c r="C15" s="3">
        <v>1</v>
      </c>
      <c r="D15" s="4">
        <v>9</v>
      </c>
      <c r="E15" s="3">
        <v>190</v>
      </c>
      <c r="F15" s="3">
        <v>100</v>
      </c>
      <c r="G15" s="3">
        <v>0.1</v>
      </c>
      <c r="H15" s="3">
        <v>120</v>
      </c>
      <c r="I15" s="3" t="s">
        <v>83</v>
      </c>
      <c r="J15" s="3">
        <v>30</v>
      </c>
      <c r="K15" s="2">
        <v>69.989999999999995</v>
      </c>
      <c r="L15" s="2">
        <v>69.959999999999994</v>
      </c>
      <c r="M15" s="2">
        <v>69.91</v>
      </c>
      <c r="N15" s="54">
        <f t="shared" si="4"/>
        <v>69.953333333333333</v>
      </c>
      <c r="O15" s="54">
        <f t="shared" si="5"/>
        <v>4.0414518843272795E-2</v>
      </c>
      <c r="P15" s="54">
        <f t="shared" si="6"/>
        <v>4.6666666666666856E-2</v>
      </c>
      <c r="Q15" s="3">
        <v>49.93</v>
      </c>
      <c r="R15" s="3">
        <v>49.92</v>
      </c>
      <c r="S15" s="3">
        <v>49.92</v>
      </c>
      <c r="T15" s="54">
        <f t="shared" si="29"/>
        <v>49.923333333333325</v>
      </c>
      <c r="U15" s="54">
        <f t="shared" si="30"/>
        <v>5.7735026918951087E-3</v>
      </c>
      <c r="V15" s="54">
        <f t="shared" si="7"/>
        <v>7.6666666666675098E-2</v>
      </c>
      <c r="W15" s="3">
        <v>5.1100000000000003</v>
      </c>
      <c r="X15" s="3">
        <v>5.12</v>
      </c>
      <c r="Y15" s="3">
        <v>5.09</v>
      </c>
      <c r="Z15" s="54">
        <f t="shared" si="31"/>
        <v>5.1066666666666665</v>
      </c>
      <c r="AA15" s="54">
        <f t="shared" si="32"/>
        <v>1.5275252316519626E-2</v>
      </c>
      <c r="AB15" s="54">
        <f t="shared" si="8"/>
        <v>0.10666666666666647</v>
      </c>
      <c r="AC15" s="50">
        <v>69.820599999999999</v>
      </c>
      <c r="AD15" s="50">
        <f t="shared" si="9"/>
        <v>0.17940000000000111</v>
      </c>
      <c r="AE15" s="50">
        <v>49.259799999999998</v>
      </c>
      <c r="AF15" s="50">
        <f t="shared" si="10"/>
        <v>0.74020000000000152</v>
      </c>
      <c r="AG15" s="50">
        <v>5.4104000000000001</v>
      </c>
      <c r="AH15" s="50">
        <f t="shared" si="11"/>
        <v>0.4104000000000001</v>
      </c>
      <c r="AI15" s="54">
        <v>3.5089999999999999</v>
      </c>
      <c r="AJ15" s="54">
        <v>2.105</v>
      </c>
      <c r="AK15" s="54">
        <f t="shared" si="12"/>
        <v>2.8069999999999999</v>
      </c>
      <c r="AL15" s="54">
        <f t="shared" si="13"/>
        <v>0.99277792078591232</v>
      </c>
      <c r="AM15" s="54">
        <v>3.2549999999999999</v>
      </c>
      <c r="AN15" s="54">
        <v>3.2040000000000002</v>
      </c>
      <c r="AO15" s="54">
        <f t="shared" si="14"/>
        <v>3.2294999999999998</v>
      </c>
      <c r="AP15" s="54">
        <f t="shared" si="15"/>
        <v>3.606244584051372E-2</v>
      </c>
      <c r="AQ15" s="54">
        <v>4.9329999999999998</v>
      </c>
      <c r="AR15" s="54">
        <v>3.2589999999999999</v>
      </c>
      <c r="AS15" s="54">
        <f t="shared" si="16"/>
        <v>4.0960000000000001</v>
      </c>
      <c r="AT15" s="54">
        <f t="shared" si="17"/>
        <v>1.1836967517062789</v>
      </c>
      <c r="AU15" s="54">
        <v>4.2590000000000003</v>
      </c>
      <c r="AV15" s="54">
        <v>4.2770000000000001</v>
      </c>
      <c r="AW15" s="54">
        <f t="shared" si="18"/>
        <v>4.2680000000000007</v>
      </c>
      <c r="AX15" s="54">
        <f t="shared" si="19"/>
        <v>1.272792206135771E-2</v>
      </c>
      <c r="AY15" s="54">
        <v>27.274999999999999</v>
      </c>
      <c r="AZ15" s="54">
        <v>21.08</v>
      </c>
      <c r="BA15" s="54">
        <f t="shared" si="20"/>
        <v>24.177499999999998</v>
      </c>
      <c r="BB15" s="54">
        <f t="shared" si="21"/>
        <v>4.3805265094506867</v>
      </c>
      <c r="BC15" s="54">
        <v>27.863</v>
      </c>
      <c r="BD15" s="54">
        <v>27.576000000000001</v>
      </c>
      <c r="BE15" s="54">
        <f t="shared" si="22"/>
        <v>27.7195</v>
      </c>
      <c r="BF15" s="54">
        <f t="shared" si="23"/>
        <v>0.20293964620053845</v>
      </c>
      <c r="BG15" s="2">
        <v>25.5</v>
      </c>
      <c r="BH15" s="2">
        <v>25.5</v>
      </c>
      <c r="BI15" s="2">
        <v>25.4</v>
      </c>
      <c r="BJ15" s="37">
        <f t="shared" si="24"/>
        <v>25.466666666666669</v>
      </c>
      <c r="BK15" s="2">
        <f t="shared" si="25"/>
        <v>5.77350269189634E-2</v>
      </c>
      <c r="BL15" s="8">
        <v>0.7</v>
      </c>
      <c r="BM15" s="8">
        <v>0.67</v>
      </c>
      <c r="BN15" s="8">
        <v>0.66</v>
      </c>
      <c r="BO15" s="8">
        <f t="shared" si="26"/>
        <v>0.67666666666666675</v>
      </c>
      <c r="BP15" s="9">
        <f t="shared" si="27"/>
        <v>2.0816659994661285E-2</v>
      </c>
      <c r="BQ15" s="10">
        <v>34</v>
      </c>
      <c r="BR15" s="10">
        <v>37</v>
      </c>
      <c r="BS15" s="10">
        <v>5</v>
      </c>
      <c r="BT15" s="10">
        <v>2</v>
      </c>
      <c r="BU15" s="10">
        <f t="shared" si="28"/>
        <v>44</v>
      </c>
      <c r="BV15" s="10">
        <v>11.67</v>
      </c>
      <c r="BW15" s="10">
        <v>3.91</v>
      </c>
      <c r="BX15" s="10">
        <v>9.41</v>
      </c>
      <c r="BY15" s="38">
        <v>45993</v>
      </c>
      <c r="BZ15" s="3" t="s">
        <v>84</v>
      </c>
      <c r="CA15" s="16"/>
    </row>
    <row r="16" spans="2:79" ht="14.25" x14ac:dyDescent="0.2">
      <c r="B16" s="3">
        <v>1</v>
      </c>
      <c r="C16" s="3">
        <v>1</v>
      </c>
      <c r="D16" s="4">
        <v>10</v>
      </c>
      <c r="E16" s="3">
        <v>190</v>
      </c>
      <c r="F16" s="3">
        <v>100</v>
      </c>
      <c r="G16" s="3">
        <v>0.1</v>
      </c>
      <c r="H16" s="3">
        <v>30</v>
      </c>
      <c r="I16" s="3" t="s">
        <v>86</v>
      </c>
      <c r="J16" s="3">
        <v>10</v>
      </c>
      <c r="K16" s="2">
        <v>69.84</v>
      </c>
      <c r="L16" s="2">
        <v>69.86</v>
      </c>
      <c r="M16" s="2">
        <v>69.849999999999994</v>
      </c>
      <c r="N16" s="54">
        <f t="shared" si="4"/>
        <v>69.849999999999994</v>
      </c>
      <c r="O16" s="54">
        <f t="shared" si="5"/>
        <v>9.9999999999980105E-3</v>
      </c>
      <c r="P16" s="54">
        <f t="shared" si="6"/>
        <v>0.15000000000000568</v>
      </c>
      <c r="Q16" s="3">
        <v>49.82</v>
      </c>
      <c r="R16" s="3">
        <v>49.79</v>
      </c>
      <c r="S16" s="3">
        <v>49.78</v>
      </c>
      <c r="T16" s="54">
        <f t="shared" si="29"/>
        <v>49.79666666666666</v>
      </c>
      <c r="U16" s="54">
        <f t="shared" si="30"/>
        <v>2.0816659994661167E-2</v>
      </c>
      <c r="V16" s="54">
        <f t="shared" si="7"/>
        <v>0.20333333333334025</v>
      </c>
      <c r="W16" s="3">
        <v>5.04</v>
      </c>
      <c r="X16" s="3">
        <v>5.05</v>
      </c>
      <c r="Y16" s="3">
        <v>5.03</v>
      </c>
      <c r="Z16" s="54">
        <f t="shared" si="31"/>
        <v>5.04</v>
      </c>
      <c r="AA16" s="54">
        <f t="shared" si="32"/>
        <v>9.9999999999997868E-3</v>
      </c>
      <c r="AB16" s="54">
        <f t="shared" si="8"/>
        <v>4.0000000000000036E-2</v>
      </c>
      <c r="AC16" s="50">
        <v>70.021100000000004</v>
      </c>
      <c r="AD16" s="50">
        <f t="shared" si="9"/>
        <v>2.1100000000004115E-2</v>
      </c>
      <c r="AE16" s="50">
        <v>49.248699999999999</v>
      </c>
      <c r="AF16" s="50">
        <f t="shared" si="10"/>
        <v>0.75130000000000052</v>
      </c>
      <c r="AG16" s="50">
        <v>4.7847999999999997</v>
      </c>
      <c r="AH16" s="50">
        <f t="shared" si="11"/>
        <v>0.21520000000000028</v>
      </c>
      <c r="AI16" s="54">
        <v>2.4060000000000001</v>
      </c>
      <c r="AJ16" s="54">
        <v>2.5219999999999998</v>
      </c>
      <c r="AK16" s="54">
        <f t="shared" si="12"/>
        <v>2.464</v>
      </c>
      <c r="AL16" s="54">
        <f t="shared" si="13"/>
        <v>8.2024386617639278E-2</v>
      </c>
      <c r="AM16" s="54">
        <v>2.4620000000000002</v>
      </c>
      <c r="AN16" s="54">
        <v>3.0590000000000002</v>
      </c>
      <c r="AO16" s="54">
        <f t="shared" si="14"/>
        <v>2.7605000000000004</v>
      </c>
      <c r="AP16" s="54">
        <f t="shared" si="15"/>
        <v>0.42214274836836635</v>
      </c>
      <c r="AQ16" s="54">
        <v>3.5169999999999999</v>
      </c>
      <c r="AR16" s="54">
        <v>4.2229999999999999</v>
      </c>
      <c r="AS16" s="54">
        <f t="shared" si="16"/>
        <v>3.87</v>
      </c>
      <c r="AT16" s="54">
        <f t="shared" si="17"/>
        <v>0.4992173875177025</v>
      </c>
      <c r="AU16" s="54">
        <v>3.1880000000000002</v>
      </c>
      <c r="AV16" s="54">
        <v>3.891</v>
      </c>
      <c r="AW16" s="54">
        <f t="shared" si="18"/>
        <v>3.5395000000000003</v>
      </c>
      <c r="AX16" s="54">
        <f t="shared" si="19"/>
        <v>0.49709606717414279</v>
      </c>
      <c r="AY16" s="54">
        <v>19.625</v>
      </c>
      <c r="AZ16" s="54">
        <v>22.052</v>
      </c>
      <c r="BA16" s="54">
        <f t="shared" si="20"/>
        <v>20.8385</v>
      </c>
      <c r="BB16" s="54">
        <f t="shared" si="21"/>
        <v>1.7161481579397506</v>
      </c>
      <c r="BC16" s="54">
        <v>21.797000000000001</v>
      </c>
      <c r="BD16" s="54">
        <v>22.699000000000002</v>
      </c>
      <c r="BE16" s="54">
        <f t="shared" si="22"/>
        <v>22.248000000000001</v>
      </c>
      <c r="BF16" s="54">
        <f t="shared" si="23"/>
        <v>0.63781031663026655</v>
      </c>
      <c r="BG16" s="2">
        <v>25.4</v>
      </c>
      <c r="BH16" s="2">
        <v>25.5</v>
      </c>
      <c r="BI16" s="2">
        <v>25.7</v>
      </c>
      <c r="BJ16" s="37">
        <f t="shared" si="24"/>
        <v>25.533333333333331</v>
      </c>
      <c r="BK16" s="2">
        <f t="shared" si="25"/>
        <v>0.15275252316519489</v>
      </c>
      <c r="BL16" s="8">
        <v>0.67</v>
      </c>
      <c r="BM16" s="8">
        <v>0.66</v>
      </c>
      <c r="BN16" s="8">
        <v>0.65</v>
      </c>
      <c r="BO16" s="8">
        <f t="shared" si="26"/>
        <v>0.66</v>
      </c>
      <c r="BP16" s="9">
        <f t="shared" si="27"/>
        <v>1.0000000000000009E-2</v>
      </c>
      <c r="BQ16" s="10">
        <v>81</v>
      </c>
      <c r="BR16" s="10">
        <v>83</v>
      </c>
      <c r="BS16" s="10">
        <v>5</v>
      </c>
      <c r="BT16" s="10">
        <v>2</v>
      </c>
      <c r="BU16" s="10">
        <f t="shared" si="28"/>
        <v>90</v>
      </c>
      <c r="BV16" s="10">
        <v>8.61</v>
      </c>
      <c r="BW16" s="10">
        <v>2.89</v>
      </c>
      <c r="BX16" s="10">
        <v>6.94</v>
      </c>
      <c r="BY16" s="38">
        <v>45993</v>
      </c>
      <c r="BZ16" s="3" t="s">
        <v>84</v>
      </c>
      <c r="CA16" s="16"/>
    </row>
    <row r="17" spans="2:79" ht="14.25" x14ac:dyDescent="0.2">
      <c r="B17" s="3">
        <v>1</v>
      </c>
      <c r="C17" s="3">
        <v>1</v>
      </c>
      <c r="D17" s="4">
        <v>11</v>
      </c>
      <c r="E17" s="3">
        <v>190</v>
      </c>
      <c r="F17" s="3">
        <v>200</v>
      </c>
      <c r="G17" s="3">
        <v>0.2</v>
      </c>
      <c r="H17" s="3">
        <v>120</v>
      </c>
      <c r="I17" s="3" t="s">
        <v>83</v>
      </c>
      <c r="J17" s="3">
        <v>30</v>
      </c>
      <c r="K17" s="2">
        <v>69.7</v>
      </c>
      <c r="L17" s="2">
        <v>69.72</v>
      </c>
      <c r="M17" s="2">
        <v>69.72</v>
      </c>
      <c r="N17" s="54">
        <f t="shared" si="4"/>
        <v>69.713333333333338</v>
      </c>
      <c r="O17" s="54">
        <f t="shared" si="5"/>
        <v>1.1547005383790217E-2</v>
      </c>
      <c r="P17" s="54">
        <f t="shared" si="6"/>
        <v>0.28666666666666174</v>
      </c>
      <c r="Q17" s="3">
        <v>49.82</v>
      </c>
      <c r="R17" s="3">
        <v>49.76</v>
      </c>
      <c r="S17" s="3">
        <v>49.81</v>
      </c>
      <c r="T17" s="54">
        <f t="shared" si="29"/>
        <v>49.79666666666666</v>
      </c>
      <c r="U17" s="54">
        <f t="shared" si="30"/>
        <v>3.2145502536644895E-2</v>
      </c>
      <c r="V17" s="54">
        <f t="shared" si="7"/>
        <v>0.20333333333334025</v>
      </c>
      <c r="W17" s="3">
        <v>5.04</v>
      </c>
      <c r="X17" s="3">
        <v>5.04</v>
      </c>
      <c r="Y17" s="3">
        <v>5.03</v>
      </c>
      <c r="Z17" s="54">
        <f t="shared" si="31"/>
        <v>5.0366666666666662</v>
      </c>
      <c r="AA17" s="54">
        <f t="shared" si="32"/>
        <v>5.7735026918961348E-3</v>
      </c>
      <c r="AB17" s="54">
        <f t="shared" si="8"/>
        <v>3.6666666666666181E-2</v>
      </c>
      <c r="AC17" s="50">
        <v>69.596400000000003</v>
      </c>
      <c r="AD17" s="50">
        <f t="shared" si="9"/>
        <v>0.40359999999999729</v>
      </c>
      <c r="AE17" s="50">
        <v>49.266599999999997</v>
      </c>
      <c r="AF17" s="50">
        <f t="shared" si="10"/>
        <v>0.73340000000000316</v>
      </c>
      <c r="AG17" s="50">
        <v>4.8254000000000001</v>
      </c>
      <c r="AH17" s="50">
        <f t="shared" si="11"/>
        <v>0.17459999999999987</v>
      </c>
      <c r="AI17" s="54">
        <v>5.9790000000000001</v>
      </c>
      <c r="AJ17" s="54">
        <v>6.2249999999999996</v>
      </c>
      <c r="AK17" s="54">
        <f t="shared" si="12"/>
        <v>6.1020000000000003</v>
      </c>
      <c r="AL17" s="54">
        <f t="shared" si="13"/>
        <v>0.17394826817189038</v>
      </c>
      <c r="AM17" s="54">
        <v>6.452</v>
      </c>
      <c r="AN17" s="54">
        <v>7.6260000000000003</v>
      </c>
      <c r="AO17" s="54">
        <f t="shared" si="14"/>
        <v>7.0389999999999997</v>
      </c>
      <c r="AP17" s="54">
        <f t="shared" si="15"/>
        <v>0.83014336111300713</v>
      </c>
      <c r="AQ17" s="54">
        <v>7.4450000000000003</v>
      </c>
      <c r="AR17" s="54">
        <v>7.0380000000000003</v>
      </c>
      <c r="AS17" s="54">
        <f t="shared" si="16"/>
        <v>7.2415000000000003</v>
      </c>
      <c r="AT17" s="54">
        <f t="shared" si="17"/>
        <v>0.28779245994292485</v>
      </c>
      <c r="AU17" s="54">
        <v>7.5910000000000002</v>
      </c>
      <c r="AV17" s="54">
        <v>9.4559999999999995</v>
      </c>
      <c r="AW17" s="54">
        <f t="shared" si="18"/>
        <v>8.5235000000000003</v>
      </c>
      <c r="AX17" s="54">
        <f t="shared" si="19"/>
        <v>1.3187541469129129</v>
      </c>
      <c r="AY17" s="54">
        <v>29.954000000000001</v>
      </c>
      <c r="AZ17" s="54">
        <v>25.048999999999999</v>
      </c>
      <c r="BA17" s="54">
        <f t="shared" si="20"/>
        <v>27.5015</v>
      </c>
      <c r="BB17" s="54">
        <f t="shared" si="21"/>
        <v>3.4683587617200167</v>
      </c>
      <c r="BC17" s="54">
        <v>30.641999999999999</v>
      </c>
      <c r="BD17" s="54">
        <v>39.152999999999999</v>
      </c>
      <c r="BE17" s="54">
        <f t="shared" si="22"/>
        <v>34.897500000000001</v>
      </c>
      <c r="BF17" s="54">
        <f t="shared" si="23"/>
        <v>6.0181858146787031</v>
      </c>
      <c r="BG17" s="2">
        <v>25.7</v>
      </c>
      <c r="BH17" s="2">
        <v>25.4</v>
      </c>
      <c r="BI17" s="2">
        <v>25.5</v>
      </c>
      <c r="BJ17" s="37">
        <f t="shared" si="24"/>
        <v>25.533333333333331</v>
      </c>
      <c r="BK17" s="2">
        <f t="shared" si="25"/>
        <v>0.15275252316519489</v>
      </c>
      <c r="BL17" s="8">
        <v>0.67</v>
      </c>
      <c r="BM17" s="8">
        <v>0.65</v>
      </c>
      <c r="BN17" s="8">
        <v>0.65</v>
      </c>
      <c r="BO17" s="8">
        <f t="shared" si="26"/>
        <v>0.65666666666666673</v>
      </c>
      <c r="BP17" s="9">
        <f t="shared" si="27"/>
        <v>1.1547005383792525E-2</v>
      </c>
      <c r="BQ17" s="10">
        <v>21</v>
      </c>
      <c r="BR17" s="10">
        <v>25</v>
      </c>
      <c r="BS17" s="10">
        <v>5</v>
      </c>
      <c r="BT17" s="10">
        <v>2</v>
      </c>
      <c r="BU17" s="10">
        <f t="shared" si="28"/>
        <v>32</v>
      </c>
      <c r="BV17" s="10">
        <v>13.03</v>
      </c>
      <c r="BW17" s="10">
        <v>4.37</v>
      </c>
      <c r="BX17" s="10">
        <v>10.51</v>
      </c>
      <c r="BY17" s="38">
        <v>45993</v>
      </c>
      <c r="BZ17" s="3" t="s">
        <v>84</v>
      </c>
      <c r="CA17" s="16"/>
    </row>
    <row r="18" spans="2:79" ht="14.25" x14ac:dyDescent="0.2">
      <c r="B18" s="3">
        <v>-1</v>
      </c>
      <c r="C18" s="3">
        <v>-1</v>
      </c>
      <c r="D18" s="4">
        <v>12</v>
      </c>
      <c r="E18" s="3">
        <v>200</v>
      </c>
      <c r="F18" s="3">
        <v>150</v>
      </c>
      <c r="G18" s="3">
        <v>0.15</v>
      </c>
      <c r="H18" s="3">
        <v>120</v>
      </c>
      <c r="I18" s="3" t="s">
        <v>85</v>
      </c>
      <c r="J18" s="3">
        <v>20</v>
      </c>
      <c r="K18" s="2">
        <v>69.760000000000005</v>
      </c>
      <c r="L18" s="2">
        <v>69.760000000000005</v>
      </c>
      <c r="M18" s="2">
        <v>69.819999999999993</v>
      </c>
      <c r="N18" s="54">
        <f t="shared" si="4"/>
        <v>69.78</v>
      </c>
      <c r="O18" s="54">
        <f t="shared" si="5"/>
        <v>3.4641016151370656E-2</v>
      </c>
      <c r="P18" s="54">
        <f t="shared" si="6"/>
        <v>0.21999999999999886</v>
      </c>
      <c r="Q18" s="3">
        <v>49.69</v>
      </c>
      <c r="R18" s="3">
        <v>49.71</v>
      </c>
      <c r="S18" s="3">
        <v>49.7</v>
      </c>
      <c r="T18" s="54">
        <f t="shared" si="29"/>
        <v>49.70000000000001</v>
      </c>
      <c r="U18" s="54">
        <f t="shared" si="30"/>
        <v>1.0000000000001563E-2</v>
      </c>
      <c r="V18" s="54">
        <f t="shared" si="7"/>
        <v>0.29999999999999005</v>
      </c>
      <c r="W18" s="3">
        <v>5.08</v>
      </c>
      <c r="X18" s="3">
        <v>5.08</v>
      </c>
      <c r="Y18" s="3">
        <v>5.09</v>
      </c>
      <c r="Z18" s="54">
        <f t="shared" si="31"/>
        <v>5.083333333333333</v>
      </c>
      <c r="AA18" s="54">
        <f t="shared" si="32"/>
        <v>5.7735026918961348E-3</v>
      </c>
      <c r="AB18" s="54">
        <f t="shared" si="8"/>
        <v>8.3333333333333037E-2</v>
      </c>
      <c r="AC18" s="50">
        <v>69.725800000000007</v>
      </c>
      <c r="AD18" s="50">
        <f t="shared" si="9"/>
        <v>0.27419999999999334</v>
      </c>
      <c r="AE18" s="50">
        <v>49.354599999999998</v>
      </c>
      <c r="AF18" s="50">
        <f t="shared" si="10"/>
        <v>0.64540000000000219</v>
      </c>
      <c r="AG18" s="50">
        <v>5.2880000000000003</v>
      </c>
      <c r="AH18" s="50">
        <f t="shared" si="11"/>
        <v>0.28800000000000026</v>
      </c>
      <c r="AI18" s="54">
        <v>7.1520000000000001</v>
      </c>
      <c r="AJ18" s="54">
        <v>6.4020000000000001</v>
      </c>
      <c r="AK18" s="54">
        <f t="shared" si="12"/>
        <v>6.7770000000000001</v>
      </c>
      <c r="AL18" s="54">
        <f t="shared" si="13"/>
        <v>0.5303300858899106</v>
      </c>
      <c r="AM18" s="54">
        <v>8.0779999999999994</v>
      </c>
      <c r="AN18" s="54">
        <v>8.3840000000000003</v>
      </c>
      <c r="AO18" s="54">
        <f t="shared" si="14"/>
        <v>8.2309999999999999</v>
      </c>
      <c r="AP18" s="54">
        <f t="shared" si="15"/>
        <v>0.21637467504308422</v>
      </c>
      <c r="AQ18" s="54">
        <v>8.6639999999999997</v>
      </c>
      <c r="AR18" s="54">
        <v>8.4190000000000005</v>
      </c>
      <c r="AS18" s="54">
        <f t="shared" si="16"/>
        <v>8.5414999999999992</v>
      </c>
      <c r="AT18" s="54">
        <f t="shared" si="17"/>
        <v>0.17324116139070359</v>
      </c>
      <c r="AU18" s="54">
        <v>9.8379999999999992</v>
      </c>
      <c r="AV18" s="54">
        <v>10.382999999999999</v>
      </c>
      <c r="AW18" s="54">
        <f t="shared" si="18"/>
        <v>10.110499999999998</v>
      </c>
      <c r="AX18" s="54">
        <f t="shared" si="19"/>
        <v>0.38537319574666834</v>
      </c>
      <c r="AY18" s="54">
        <v>36.546999999999997</v>
      </c>
      <c r="AZ18" s="54">
        <v>37.366</v>
      </c>
      <c r="BA18" s="54">
        <f t="shared" si="20"/>
        <v>36.956499999999998</v>
      </c>
      <c r="BB18" s="54">
        <f t="shared" si="21"/>
        <v>0.57912045379178423</v>
      </c>
      <c r="BC18" s="54">
        <v>45.192</v>
      </c>
      <c r="BD18" s="54">
        <v>43.079000000000001</v>
      </c>
      <c r="BE18" s="54">
        <f t="shared" si="22"/>
        <v>44.1355</v>
      </c>
      <c r="BF18" s="54">
        <f t="shared" si="23"/>
        <v>1.4941166286471745</v>
      </c>
      <c r="BG18" s="2">
        <v>25.4</v>
      </c>
      <c r="BH18" s="2">
        <v>25.5</v>
      </c>
      <c r="BI18" s="2">
        <v>25.6</v>
      </c>
      <c r="BJ18" s="37">
        <f t="shared" si="24"/>
        <v>25.5</v>
      </c>
      <c r="BK18" s="2">
        <f t="shared" si="25"/>
        <v>0.10000000000000142</v>
      </c>
      <c r="BL18" s="8">
        <v>0.67</v>
      </c>
      <c r="BM18" s="8">
        <v>0.67</v>
      </c>
      <c r="BN18" s="8">
        <v>0.67</v>
      </c>
      <c r="BO18" s="8">
        <f t="shared" si="26"/>
        <v>0.67</v>
      </c>
      <c r="BP18" s="9">
        <f t="shared" si="27"/>
        <v>0</v>
      </c>
      <c r="BQ18" s="10">
        <v>22</v>
      </c>
      <c r="BR18" s="10">
        <v>25</v>
      </c>
      <c r="BS18" s="10">
        <v>5</v>
      </c>
      <c r="BT18" s="10">
        <v>2</v>
      </c>
      <c r="BU18" s="10">
        <f t="shared" si="28"/>
        <v>32</v>
      </c>
      <c r="BV18" s="10">
        <v>10.39</v>
      </c>
      <c r="BW18" s="10">
        <v>3.48</v>
      </c>
      <c r="BX18" s="10">
        <v>8.3800000000000008</v>
      </c>
      <c r="BY18" s="38">
        <v>45993</v>
      </c>
      <c r="BZ18" s="3" t="s">
        <v>84</v>
      </c>
      <c r="CA18" s="16"/>
    </row>
    <row r="19" spans="2:79" ht="14.25" x14ac:dyDescent="0.2">
      <c r="B19" s="3">
        <v>-1</v>
      </c>
      <c r="C19" s="3">
        <v>-1</v>
      </c>
      <c r="D19" s="4">
        <v>13</v>
      </c>
      <c r="E19" s="3">
        <v>210</v>
      </c>
      <c r="F19" s="3">
        <v>150</v>
      </c>
      <c r="G19" s="3">
        <v>0.15</v>
      </c>
      <c r="H19" s="3">
        <v>75</v>
      </c>
      <c r="I19" s="3" t="s">
        <v>85</v>
      </c>
      <c r="J19" s="3">
        <v>20</v>
      </c>
      <c r="K19" s="2">
        <v>69.790000000000006</v>
      </c>
      <c r="L19" s="2">
        <v>69.78</v>
      </c>
      <c r="M19" s="2">
        <v>69.75</v>
      </c>
      <c r="N19" s="54">
        <f t="shared" si="4"/>
        <v>69.773333333333326</v>
      </c>
      <c r="O19" s="54">
        <f t="shared" si="5"/>
        <v>2.0816659994664012E-2</v>
      </c>
      <c r="P19" s="54">
        <f t="shared" si="6"/>
        <v>0.22666666666667368</v>
      </c>
      <c r="Q19" s="3">
        <v>49.75</v>
      </c>
      <c r="R19" s="3">
        <v>49.73</v>
      </c>
      <c r="S19" s="3">
        <v>49.75</v>
      </c>
      <c r="T19" s="54">
        <f t="shared" si="29"/>
        <v>49.743333333333332</v>
      </c>
      <c r="U19" s="54">
        <f t="shared" si="30"/>
        <v>1.154700538379432E-2</v>
      </c>
      <c r="V19" s="54">
        <f t="shared" si="7"/>
        <v>0.25666666666666771</v>
      </c>
      <c r="W19" s="3">
        <v>5.01</v>
      </c>
      <c r="X19" s="3">
        <v>5.04</v>
      </c>
      <c r="Y19" s="3">
        <v>5.0199999999999996</v>
      </c>
      <c r="Z19" s="54">
        <f t="shared" si="31"/>
        <v>5.0233333333333334</v>
      </c>
      <c r="AA19" s="54">
        <f t="shared" si="32"/>
        <v>1.5275252316519626E-2</v>
      </c>
      <c r="AB19" s="54">
        <f t="shared" si="8"/>
        <v>2.3333333333333428E-2</v>
      </c>
      <c r="AC19" s="50">
        <v>70.137100000000004</v>
      </c>
      <c r="AD19" s="50">
        <f t="shared" si="9"/>
        <v>0.13710000000000377</v>
      </c>
      <c r="AE19" s="50">
        <v>49.377800000000001</v>
      </c>
      <c r="AF19" s="50">
        <f t="shared" si="10"/>
        <v>0.62219999999999942</v>
      </c>
      <c r="AG19" s="50">
        <v>5.6471</v>
      </c>
      <c r="AH19" s="50">
        <f t="shared" si="11"/>
        <v>0.64710000000000001</v>
      </c>
      <c r="AI19" s="54">
        <v>6.1040000000000001</v>
      </c>
      <c r="AJ19" s="54">
        <v>5.2990000000000004</v>
      </c>
      <c r="AK19" s="54">
        <f t="shared" si="12"/>
        <v>5.7015000000000002</v>
      </c>
      <c r="AL19" s="54">
        <f t="shared" si="13"/>
        <v>0.56922095885517054</v>
      </c>
      <c r="AM19" s="54">
        <v>8.3049999999999997</v>
      </c>
      <c r="AN19" s="54">
        <v>7.617</v>
      </c>
      <c r="AO19" s="54">
        <f t="shared" si="14"/>
        <v>7.9610000000000003</v>
      </c>
      <c r="AP19" s="54">
        <f t="shared" si="15"/>
        <v>0.48648946545634447</v>
      </c>
      <c r="AQ19" s="54">
        <v>9.1630000000000003</v>
      </c>
      <c r="AR19" s="54">
        <v>8.0440000000000005</v>
      </c>
      <c r="AS19" s="54">
        <f t="shared" si="16"/>
        <v>8.6035000000000004</v>
      </c>
      <c r="AT19" s="54">
        <f t="shared" si="17"/>
        <v>0.79125248814774651</v>
      </c>
      <c r="AU19" s="54">
        <v>11.898</v>
      </c>
      <c r="AV19" s="54">
        <v>10.877000000000001</v>
      </c>
      <c r="AW19" s="54">
        <f t="shared" si="18"/>
        <v>11.387499999999999</v>
      </c>
      <c r="AX19" s="54">
        <f t="shared" si="19"/>
        <v>0.72195602359146427</v>
      </c>
      <c r="AY19" s="54">
        <v>48.024999999999999</v>
      </c>
      <c r="AZ19" s="54">
        <v>40.512</v>
      </c>
      <c r="BA19" s="54">
        <f t="shared" si="20"/>
        <v>44.268500000000003</v>
      </c>
      <c r="BB19" s="54">
        <f t="shared" si="21"/>
        <v>5.3124932470545305</v>
      </c>
      <c r="BC19" s="54">
        <v>66.625</v>
      </c>
      <c r="BD19" s="54">
        <v>61.27</v>
      </c>
      <c r="BE19" s="54">
        <f t="shared" si="22"/>
        <v>63.947500000000005</v>
      </c>
      <c r="BF19" s="54">
        <f t="shared" si="23"/>
        <v>3.7865568132539598</v>
      </c>
      <c r="BG19" s="2">
        <v>25.5</v>
      </c>
      <c r="BH19" s="2">
        <v>25.7</v>
      </c>
      <c r="BI19" s="2">
        <v>25.8</v>
      </c>
      <c r="BJ19" s="37">
        <f t="shared" si="24"/>
        <v>25.666666666666668</v>
      </c>
      <c r="BK19" s="2">
        <f t="shared" si="25"/>
        <v>0.15275252316519491</v>
      </c>
      <c r="BL19" s="8">
        <v>0.67</v>
      </c>
      <c r="BM19" s="8">
        <v>0.67</v>
      </c>
      <c r="BN19" s="8">
        <v>0.66</v>
      </c>
      <c r="BO19" s="8">
        <f t="shared" si="26"/>
        <v>0.66666666666666663</v>
      </c>
      <c r="BP19" s="9">
        <f t="shared" si="27"/>
        <v>5.7735026918962632E-3</v>
      </c>
      <c r="BQ19" s="10">
        <v>30</v>
      </c>
      <c r="BR19" s="10">
        <v>34</v>
      </c>
      <c r="BS19" s="10">
        <v>5</v>
      </c>
      <c r="BT19" s="10">
        <v>2</v>
      </c>
      <c r="BU19" s="10">
        <f t="shared" si="28"/>
        <v>41</v>
      </c>
      <c r="BV19" s="10">
        <v>10.39</v>
      </c>
      <c r="BW19" s="10">
        <v>3.48</v>
      </c>
      <c r="BX19" s="10">
        <v>8.3800000000000008</v>
      </c>
      <c r="BY19" s="38">
        <v>45993</v>
      </c>
      <c r="BZ19" s="3" t="s">
        <v>84</v>
      </c>
      <c r="CA19" s="16"/>
    </row>
    <row r="20" spans="2:79" ht="14.25" x14ac:dyDescent="0.2">
      <c r="B20" s="3">
        <v>1</v>
      </c>
      <c r="C20" s="3">
        <v>1</v>
      </c>
      <c r="D20" s="4">
        <v>14</v>
      </c>
      <c r="E20" s="3">
        <v>210</v>
      </c>
      <c r="F20" s="3">
        <v>100</v>
      </c>
      <c r="G20" s="3">
        <v>0.1</v>
      </c>
      <c r="H20" s="3">
        <v>120</v>
      </c>
      <c r="I20" s="3" t="s">
        <v>86</v>
      </c>
      <c r="J20" s="3">
        <v>10</v>
      </c>
      <c r="K20" s="2">
        <v>69.760000000000005</v>
      </c>
      <c r="L20" s="2">
        <v>69.84</v>
      </c>
      <c r="M20" s="2">
        <v>69.8</v>
      </c>
      <c r="N20" s="54">
        <f t="shared" si="4"/>
        <v>69.800000000000011</v>
      </c>
      <c r="O20" s="54">
        <f t="shared" si="5"/>
        <v>3.9999999999999147E-2</v>
      </c>
      <c r="P20" s="54">
        <f t="shared" si="6"/>
        <v>0.19999999999998863</v>
      </c>
      <c r="Q20" s="3">
        <v>49.73</v>
      </c>
      <c r="R20" s="3">
        <v>49.76</v>
      </c>
      <c r="S20" s="3">
        <v>49.74</v>
      </c>
      <c r="T20" s="54">
        <f t="shared" si="29"/>
        <v>49.743333333333332</v>
      </c>
      <c r="U20" s="54">
        <f t="shared" si="30"/>
        <v>1.5275252316519527E-2</v>
      </c>
      <c r="V20" s="54">
        <f t="shared" si="7"/>
        <v>0.25666666666666771</v>
      </c>
      <c r="W20" s="3">
        <v>5</v>
      </c>
      <c r="X20" s="3">
        <v>5.0199999999999996</v>
      </c>
      <c r="Y20" s="3">
        <v>5.0199999999999996</v>
      </c>
      <c r="Z20" s="54">
        <f t="shared" si="31"/>
        <v>5.0133333333333328</v>
      </c>
      <c r="AA20" s="54">
        <f t="shared" si="32"/>
        <v>1.154700538379227E-2</v>
      </c>
      <c r="AB20" s="54">
        <f t="shared" si="8"/>
        <v>1.3333333333332753E-2</v>
      </c>
      <c r="AC20" s="50">
        <v>69.735699999999994</v>
      </c>
      <c r="AD20" s="50">
        <f t="shared" si="9"/>
        <v>0.26430000000000575</v>
      </c>
      <c r="AE20" s="50">
        <v>49.584499999999998</v>
      </c>
      <c r="AF20" s="50">
        <f t="shared" si="10"/>
        <v>0.41550000000000153</v>
      </c>
      <c r="AG20" s="50">
        <v>5.0343</v>
      </c>
      <c r="AH20" s="50">
        <f t="shared" si="11"/>
        <v>3.4299999999999997E-2</v>
      </c>
      <c r="AI20" s="54">
        <v>5.09</v>
      </c>
      <c r="AJ20" s="54">
        <v>3.5059999999999998</v>
      </c>
      <c r="AK20" s="54">
        <f t="shared" si="12"/>
        <v>4.298</v>
      </c>
      <c r="AL20" s="54">
        <f t="shared" si="13"/>
        <v>1.1200571413994884</v>
      </c>
      <c r="AM20" s="54">
        <v>4.1589999999999998</v>
      </c>
      <c r="AN20" s="54">
        <v>4.2809999999999997</v>
      </c>
      <c r="AO20" s="54">
        <f t="shared" si="14"/>
        <v>4.22</v>
      </c>
      <c r="AP20" s="54">
        <f t="shared" si="15"/>
        <v>8.6267027304758714E-2</v>
      </c>
      <c r="AQ20" s="54">
        <v>7.5640000000000001</v>
      </c>
      <c r="AR20" s="54">
        <v>5.56</v>
      </c>
      <c r="AS20" s="54">
        <f t="shared" si="16"/>
        <v>6.5619999999999994</v>
      </c>
      <c r="AT20" s="54">
        <f t="shared" si="17"/>
        <v>1.4170419894978425</v>
      </c>
      <c r="AU20" s="54">
        <v>5.806</v>
      </c>
      <c r="AV20" s="54">
        <v>5.7350000000000003</v>
      </c>
      <c r="AW20" s="54">
        <f t="shared" si="18"/>
        <v>5.7705000000000002</v>
      </c>
      <c r="AX20" s="54">
        <f t="shared" si="19"/>
        <v>5.0204581464244682E-2</v>
      </c>
      <c r="AY20" s="54">
        <v>41.104999999999997</v>
      </c>
      <c r="AZ20" s="54">
        <v>30.39</v>
      </c>
      <c r="BA20" s="54">
        <f t="shared" si="20"/>
        <v>35.747500000000002</v>
      </c>
      <c r="BB20" s="54">
        <f t="shared" si="21"/>
        <v>7.5766491604138091</v>
      </c>
      <c r="BC20" s="54">
        <v>37.152000000000001</v>
      </c>
      <c r="BD20" s="54">
        <v>33.481999999999999</v>
      </c>
      <c r="BE20" s="54">
        <f t="shared" si="22"/>
        <v>35.317</v>
      </c>
      <c r="BF20" s="54">
        <f t="shared" si="23"/>
        <v>2.5950818869546306</v>
      </c>
      <c r="BG20" s="2">
        <v>22.8</v>
      </c>
      <c r="BH20" s="2">
        <v>24.3</v>
      </c>
      <c r="BI20" s="2">
        <v>25.2</v>
      </c>
      <c r="BJ20" s="37">
        <f t="shared" si="24"/>
        <v>24.099999999999998</v>
      </c>
      <c r="BK20" s="2">
        <f t="shared" si="25"/>
        <v>1.2124355652982135</v>
      </c>
      <c r="BL20" s="8">
        <v>0.79</v>
      </c>
      <c r="BM20" s="8">
        <v>0.72</v>
      </c>
      <c r="BN20" s="8">
        <v>0.68</v>
      </c>
      <c r="BO20" s="8">
        <f t="shared" si="26"/>
        <v>0.73</v>
      </c>
      <c r="BP20" s="9">
        <f t="shared" si="27"/>
        <v>5.5677643628300223E-2</v>
      </c>
      <c r="BQ20" s="10">
        <v>25</v>
      </c>
      <c r="BR20" s="10">
        <v>29</v>
      </c>
      <c r="BS20" s="10">
        <v>5</v>
      </c>
      <c r="BT20" s="10">
        <v>2</v>
      </c>
      <c r="BU20" s="10">
        <f t="shared" si="28"/>
        <v>36</v>
      </c>
      <c r="BV20" s="10">
        <v>8.61</v>
      </c>
      <c r="BW20" s="10">
        <v>2.89</v>
      </c>
      <c r="BX20" s="10">
        <v>6.94</v>
      </c>
      <c r="BY20" s="38">
        <v>45994</v>
      </c>
      <c r="BZ20" s="3" t="s">
        <v>84</v>
      </c>
      <c r="CA20" s="16"/>
    </row>
    <row r="21" spans="2:79" ht="14.25" x14ac:dyDescent="0.2">
      <c r="B21" s="3">
        <v>1</v>
      </c>
      <c r="C21" s="3">
        <v>1</v>
      </c>
      <c r="D21" s="4">
        <v>15</v>
      </c>
      <c r="E21" s="3">
        <v>210</v>
      </c>
      <c r="F21" s="3">
        <v>100</v>
      </c>
      <c r="G21" s="3">
        <v>0.1</v>
      </c>
      <c r="H21" s="3">
        <v>30</v>
      </c>
      <c r="I21" s="3" t="s">
        <v>83</v>
      </c>
      <c r="J21" s="3">
        <v>10</v>
      </c>
      <c r="K21" s="2">
        <v>69.86</v>
      </c>
      <c r="L21" s="2">
        <v>69.84</v>
      </c>
      <c r="M21" s="2">
        <v>69.819999999999993</v>
      </c>
      <c r="N21" s="54">
        <f t="shared" si="4"/>
        <v>69.839999999999989</v>
      </c>
      <c r="O21" s="54">
        <f t="shared" si="5"/>
        <v>2.0000000000003126E-2</v>
      </c>
      <c r="P21" s="54">
        <f t="shared" si="6"/>
        <v>0.1600000000000108</v>
      </c>
      <c r="Q21" s="3">
        <v>49.77</v>
      </c>
      <c r="R21" s="3">
        <v>49.76</v>
      </c>
      <c r="S21" s="3">
        <v>49.76</v>
      </c>
      <c r="T21" s="54">
        <f t="shared" si="29"/>
        <v>49.763333333333328</v>
      </c>
      <c r="U21" s="54">
        <f t="shared" si="30"/>
        <v>5.7735026918992113E-3</v>
      </c>
      <c r="V21" s="54">
        <f t="shared" si="7"/>
        <v>0.23666666666667169</v>
      </c>
      <c r="W21" s="3">
        <v>5.0199999999999996</v>
      </c>
      <c r="X21" s="3">
        <v>5.03</v>
      </c>
      <c r="Y21" s="3">
        <v>5.0199999999999996</v>
      </c>
      <c r="Z21" s="54">
        <f t="shared" si="31"/>
        <v>5.0233333333333334</v>
      </c>
      <c r="AA21" s="54">
        <f t="shared" si="32"/>
        <v>5.7735026918966474E-3</v>
      </c>
      <c r="AB21" s="54">
        <f t="shared" si="8"/>
        <v>2.3333333333333428E-2</v>
      </c>
      <c r="AC21" s="50">
        <v>70.014200000000002</v>
      </c>
      <c r="AD21" s="50">
        <f t="shared" si="9"/>
        <v>1.4200000000002433E-2</v>
      </c>
      <c r="AE21" s="50">
        <v>49.379399999999997</v>
      </c>
      <c r="AF21" s="50">
        <f t="shared" si="10"/>
        <v>0.62060000000000315</v>
      </c>
      <c r="AG21" s="50">
        <v>5.5209000000000001</v>
      </c>
      <c r="AH21" s="50">
        <f t="shared" si="11"/>
        <v>0.52090000000000014</v>
      </c>
      <c r="AI21" s="54">
        <v>2.657</v>
      </c>
      <c r="AJ21" s="54">
        <v>2.1619999999999999</v>
      </c>
      <c r="AK21" s="54">
        <f t="shared" si="12"/>
        <v>2.4095</v>
      </c>
      <c r="AL21" s="54">
        <f t="shared" si="13"/>
        <v>0.35001785668734231</v>
      </c>
      <c r="AM21" s="54">
        <v>2.9729999999999999</v>
      </c>
      <c r="AN21" s="54">
        <v>4.9249999999999998</v>
      </c>
      <c r="AO21" s="54">
        <f t="shared" si="14"/>
        <v>3.9489999999999998</v>
      </c>
      <c r="AP21" s="54">
        <f t="shared" si="15"/>
        <v>1.3802724368761399</v>
      </c>
      <c r="AQ21" s="54">
        <v>3.7949999999999999</v>
      </c>
      <c r="AR21" s="54">
        <v>3.1749999999999998</v>
      </c>
      <c r="AS21" s="54">
        <f t="shared" si="16"/>
        <v>3.4849999999999999</v>
      </c>
      <c r="AT21" s="54">
        <f t="shared" si="17"/>
        <v>0.43840620433565952</v>
      </c>
      <c r="AU21" s="54">
        <v>4.1159999999999997</v>
      </c>
      <c r="AV21" s="54">
        <v>6.2080000000000002</v>
      </c>
      <c r="AW21" s="54">
        <f t="shared" si="18"/>
        <v>5.1619999999999999</v>
      </c>
      <c r="AX21" s="54">
        <f t="shared" si="19"/>
        <v>1.4792673862422596</v>
      </c>
      <c r="AY21" s="54">
        <v>22.352</v>
      </c>
      <c r="AZ21" s="54">
        <v>17.867000000000001</v>
      </c>
      <c r="BA21" s="54">
        <f t="shared" si="20"/>
        <v>20.109500000000001</v>
      </c>
      <c r="BB21" s="54">
        <f t="shared" si="21"/>
        <v>3.1713739136216663</v>
      </c>
      <c r="BC21" s="54">
        <v>26.012</v>
      </c>
      <c r="BD21" s="54">
        <v>33.49</v>
      </c>
      <c r="BE21" s="54">
        <f t="shared" si="22"/>
        <v>29.751000000000001</v>
      </c>
      <c r="BF21" s="54">
        <f t="shared" si="23"/>
        <v>5.2877445097129909</v>
      </c>
      <c r="BG21" s="2">
        <v>25.1</v>
      </c>
      <c r="BH21" s="2">
        <v>25.5</v>
      </c>
      <c r="BI21" s="2">
        <v>25.2</v>
      </c>
      <c r="BJ21" s="37">
        <f t="shared" si="24"/>
        <v>25.266666666666666</v>
      </c>
      <c r="BK21" s="2">
        <f t="shared" si="25"/>
        <v>0.20816659994661282</v>
      </c>
      <c r="BL21" s="8">
        <v>0.68</v>
      </c>
      <c r="BM21" s="8">
        <v>0.65</v>
      </c>
      <c r="BN21" s="8">
        <v>0.66</v>
      </c>
      <c r="BO21" s="8">
        <f t="shared" si="26"/>
        <v>0.66333333333333344</v>
      </c>
      <c r="BP21" s="9">
        <f t="shared" si="27"/>
        <v>1.527525231651948E-2</v>
      </c>
      <c r="BQ21" s="10">
        <v>81</v>
      </c>
      <c r="BR21" s="10">
        <v>85</v>
      </c>
      <c r="BS21" s="10">
        <v>5</v>
      </c>
      <c r="BT21" s="10">
        <v>2</v>
      </c>
      <c r="BU21" s="10">
        <f t="shared" si="28"/>
        <v>92</v>
      </c>
      <c r="BV21" s="10">
        <v>8.61</v>
      </c>
      <c r="BW21" s="10">
        <v>2.89</v>
      </c>
      <c r="BX21" s="10">
        <v>6.94</v>
      </c>
      <c r="BY21" s="38">
        <v>45994</v>
      </c>
      <c r="BZ21" s="3" t="s">
        <v>84</v>
      </c>
      <c r="CA21" s="16"/>
    </row>
    <row r="22" spans="2:79" ht="14.25" x14ac:dyDescent="0.2">
      <c r="B22" s="3">
        <v>1</v>
      </c>
      <c r="C22" s="3">
        <v>1</v>
      </c>
      <c r="D22" s="4">
        <v>16</v>
      </c>
      <c r="E22" s="3">
        <v>210</v>
      </c>
      <c r="F22" s="3">
        <v>200</v>
      </c>
      <c r="G22" s="3">
        <v>0.2</v>
      </c>
      <c r="H22" s="3">
        <v>120</v>
      </c>
      <c r="I22" s="3" t="s">
        <v>83</v>
      </c>
      <c r="J22" s="3">
        <v>30</v>
      </c>
      <c r="K22" s="2">
        <v>69.709999999999994</v>
      </c>
      <c r="L22" s="2">
        <v>69.680000000000007</v>
      </c>
      <c r="M22" s="2">
        <v>69.69</v>
      </c>
      <c r="N22" s="54">
        <f t="shared" si="4"/>
        <v>69.693333333333328</v>
      </c>
      <c r="O22" s="54">
        <f t="shared" si="5"/>
        <v>1.5275252316513326E-2</v>
      </c>
      <c r="P22" s="54">
        <f t="shared" si="6"/>
        <v>0.30666666666667197</v>
      </c>
      <c r="Q22" s="3">
        <v>49.68</v>
      </c>
      <c r="R22" s="3">
        <v>49.71</v>
      </c>
      <c r="S22" s="3">
        <v>49.67</v>
      </c>
      <c r="T22" s="55">
        <f t="shared" si="29"/>
        <v>49.686666666666667</v>
      </c>
      <c r="U22" s="55">
        <f t="shared" si="30"/>
        <v>2.0816659994661167E-2</v>
      </c>
      <c r="V22" s="55">
        <f t="shared" si="7"/>
        <v>0.31333333333333258</v>
      </c>
      <c r="W22" s="3">
        <v>5.01</v>
      </c>
      <c r="X22" s="3">
        <v>5</v>
      </c>
      <c r="Y22" s="3">
        <v>5.0199999999999996</v>
      </c>
      <c r="Z22" s="55">
        <f t="shared" si="31"/>
        <v>5.01</v>
      </c>
      <c r="AA22" s="55">
        <f t="shared" si="32"/>
        <v>9.9999999999997868E-3</v>
      </c>
      <c r="AB22" s="55">
        <f t="shared" si="8"/>
        <v>9.9999999999997868E-3</v>
      </c>
      <c r="AC22" s="51">
        <v>69.742599999999996</v>
      </c>
      <c r="AD22" s="51">
        <f t="shared" si="9"/>
        <v>0.25740000000000407</v>
      </c>
      <c r="AE22" s="51">
        <v>49.3733</v>
      </c>
      <c r="AF22" s="51">
        <f t="shared" si="10"/>
        <v>0.62669999999999959</v>
      </c>
      <c r="AG22" s="51">
        <v>5.6588000000000003</v>
      </c>
      <c r="AH22" s="51">
        <f t="shared" si="11"/>
        <v>0.65880000000000027</v>
      </c>
      <c r="AI22" s="55">
        <v>7.2729999999999997</v>
      </c>
      <c r="AJ22" s="55">
        <v>6.508</v>
      </c>
      <c r="AK22" s="55">
        <f t="shared" si="12"/>
        <v>6.8904999999999994</v>
      </c>
      <c r="AL22" s="55">
        <f t="shared" si="13"/>
        <v>0.54093668760770863</v>
      </c>
      <c r="AM22" s="55">
        <v>8.0180000000000007</v>
      </c>
      <c r="AN22" s="55">
        <v>7.8090000000000002</v>
      </c>
      <c r="AO22" s="55">
        <f t="shared" si="14"/>
        <v>7.9135000000000009</v>
      </c>
      <c r="AP22" s="55">
        <f t="shared" si="15"/>
        <v>0.1477853172679888</v>
      </c>
      <c r="AQ22" s="55">
        <v>8.4160000000000004</v>
      </c>
      <c r="AR22" s="55">
        <v>7.5259999999999998</v>
      </c>
      <c r="AS22" s="55">
        <f t="shared" si="16"/>
        <v>7.9710000000000001</v>
      </c>
      <c r="AT22" s="55">
        <f t="shared" si="17"/>
        <v>0.62932503525602768</v>
      </c>
      <c r="AU22" s="55">
        <v>9.1850000000000005</v>
      </c>
      <c r="AV22" s="55">
        <v>8.9870000000000001</v>
      </c>
      <c r="AW22" s="55">
        <f t="shared" si="18"/>
        <v>9.0860000000000003</v>
      </c>
      <c r="AX22" s="55">
        <f t="shared" si="19"/>
        <v>0.14000714267493669</v>
      </c>
      <c r="AY22" s="55">
        <v>30.068000000000001</v>
      </c>
      <c r="AZ22" s="55">
        <v>29.004999999999999</v>
      </c>
      <c r="BA22" s="55">
        <f t="shared" si="20"/>
        <v>29.5365</v>
      </c>
      <c r="BB22" s="55">
        <f t="shared" si="21"/>
        <v>0.75165450840130177</v>
      </c>
      <c r="BC22" s="55">
        <v>35.606000000000002</v>
      </c>
      <c r="BD22" s="55">
        <v>34.838999999999999</v>
      </c>
      <c r="BE22" s="55">
        <f t="shared" si="22"/>
        <v>35.222499999999997</v>
      </c>
      <c r="BF22" s="55">
        <f t="shared" si="23"/>
        <v>0.54235090117008411</v>
      </c>
      <c r="BG22" s="3">
        <v>25.2</v>
      </c>
      <c r="BH22" s="3">
        <v>25.3</v>
      </c>
      <c r="BI22" s="2">
        <v>25.3</v>
      </c>
      <c r="BJ22" s="37">
        <f>AVERAGE(BG22:BI22)</f>
        <v>25.266666666666666</v>
      </c>
      <c r="BK22" s="2">
        <f t="shared" ref="BK22:BK25" si="33">_xlfn.STDEV.S(BG22:BI22)</f>
        <v>5.77350269189634E-2</v>
      </c>
      <c r="BL22" s="14">
        <v>0.67</v>
      </c>
      <c r="BM22" s="14">
        <v>0.67</v>
      </c>
      <c r="BN22" s="8">
        <v>0.67</v>
      </c>
      <c r="BO22" s="8">
        <f t="shared" si="26"/>
        <v>0.67</v>
      </c>
      <c r="BP22" s="9">
        <f t="shared" si="27"/>
        <v>0</v>
      </c>
      <c r="BQ22" s="10">
        <v>21</v>
      </c>
      <c r="BR22" s="10">
        <v>25</v>
      </c>
      <c r="BS22" s="10">
        <v>5</v>
      </c>
      <c r="BT22" s="10">
        <v>2</v>
      </c>
      <c r="BU22" s="10">
        <f t="shared" si="28"/>
        <v>32</v>
      </c>
      <c r="BV22" s="10">
        <v>13.03</v>
      </c>
      <c r="BW22" s="10">
        <v>4.37</v>
      </c>
      <c r="BX22" s="10">
        <v>10.51</v>
      </c>
      <c r="BY22" s="38">
        <v>45994</v>
      </c>
      <c r="BZ22" s="3" t="s">
        <v>84</v>
      </c>
      <c r="CA22" s="16"/>
    </row>
    <row r="23" spans="2:79" ht="14.25" x14ac:dyDescent="0.2">
      <c r="B23" s="3">
        <v>1</v>
      </c>
      <c r="C23" s="3">
        <v>1</v>
      </c>
      <c r="D23" s="4">
        <v>17</v>
      </c>
      <c r="E23" s="3">
        <v>210</v>
      </c>
      <c r="F23" s="3">
        <v>100</v>
      </c>
      <c r="G23" s="3">
        <v>0.1</v>
      </c>
      <c r="H23" s="3">
        <v>120</v>
      </c>
      <c r="I23" s="3" t="s">
        <v>86</v>
      </c>
      <c r="J23" s="3">
        <v>30</v>
      </c>
      <c r="K23" s="2">
        <v>69.849999999999994</v>
      </c>
      <c r="L23" s="2">
        <v>69.89</v>
      </c>
      <c r="M23" s="2">
        <v>69.84</v>
      </c>
      <c r="N23" s="54">
        <f t="shared" si="4"/>
        <v>69.86</v>
      </c>
      <c r="O23" s="54">
        <f t="shared" si="5"/>
        <v>2.6457513110646012E-2</v>
      </c>
      <c r="P23" s="54">
        <f t="shared" si="6"/>
        <v>0.14000000000000057</v>
      </c>
      <c r="Q23" s="3">
        <v>49.85</v>
      </c>
      <c r="R23" s="3">
        <v>49.86</v>
      </c>
      <c r="S23" s="3">
        <v>49.88</v>
      </c>
      <c r="T23" s="55">
        <f t="shared" si="29"/>
        <v>49.863333333333337</v>
      </c>
      <c r="U23" s="55">
        <f t="shared" si="30"/>
        <v>1.5275252316520303E-2</v>
      </c>
      <c r="V23" s="55">
        <f t="shared" si="7"/>
        <v>0.13666666666666316</v>
      </c>
      <c r="W23" s="3">
        <v>5.05</v>
      </c>
      <c r="X23" s="3">
        <v>5.0599999999999996</v>
      </c>
      <c r="Y23" s="3">
        <v>5.07</v>
      </c>
      <c r="Z23" s="55">
        <f t="shared" si="31"/>
        <v>5.0599999999999996</v>
      </c>
      <c r="AA23" s="55">
        <f t="shared" si="32"/>
        <v>1.0000000000000231E-2</v>
      </c>
      <c r="AB23" s="55">
        <f t="shared" si="8"/>
        <v>5.9999999999999609E-2</v>
      </c>
      <c r="AC23" s="51">
        <v>69.783500000000004</v>
      </c>
      <c r="AD23" s="51">
        <f t="shared" si="9"/>
        <v>0.21649999999999636</v>
      </c>
      <c r="AE23" s="51">
        <v>49.264400000000002</v>
      </c>
      <c r="AF23" s="51">
        <f t="shared" si="10"/>
        <v>0.73559999999999803</v>
      </c>
      <c r="AG23" s="51">
        <v>5.8667999999999996</v>
      </c>
      <c r="AH23" s="51">
        <f t="shared" si="11"/>
        <v>0.86679999999999957</v>
      </c>
      <c r="AI23" s="55">
        <v>3.923</v>
      </c>
      <c r="AJ23" s="55">
        <v>3.851</v>
      </c>
      <c r="AK23" s="55">
        <f t="shared" si="12"/>
        <v>3.887</v>
      </c>
      <c r="AL23" s="55">
        <f t="shared" si="13"/>
        <v>5.0911688245431463E-2</v>
      </c>
      <c r="AM23" s="55">
        <v>2.879</v>
      </c>
      <c r="AN23" s="55">
        <v>2.9820000000000002</v>
      </c>
      <c r="AO23" s="55">
        <f t="shared" si="14"/>
        <v>2.9305000000000003</v>
      </c>
      <c r="AP23" s="55">
        <f t="shared" si="15"/>
        <v>7.2831998462214539E-2</v>
      </c>
      <c r="AQ23" s="55">
        <v>6.3369999999999997</v>
      </c>
      <c r="AR23" s="55">
        <v>5.8810000000000002</v>
      </c>
      <c r="AS23" s="55">
        <f t="shared" si="16"/>
        <v>6.109</v>
      </c>
      <c r="AT23" s="55">
        <f t="shared" si="17"/>
        <v>0.32244069222106536</v>
      </c>
      <c r="AU23" s="55">
        <v>3.7549999999999999</v>
      </c>
      <c r="AV23" s="55">
        <v>4.1079999999999997</v>
      </c>
      <c r="AW23" s="55">
        <f t="shared" si="18"/>
        <v>3.9314999999999998</v>
      </c>
      <c r="AX23" s="55">
        <f t="shared" si="19"/>
        <v>0.24960869375885111</v>
      </c>
      <c r="AY23" s="55">
        <v>37.841999999999999</v>
      </c>
      <c r="AZ23" s="55">
        <v>32.398000000000003</v>
      </c>
      <c r="BA23" s="55">
        <f t="shared" si="20"/>
        <v>35.120000000000005</v>
      </c>
      <c r="BB23" s="55">
        <f t="shared" si="21"/>
        <v>3.8494893167795614</v>
      </c>
      <c r="BC23" s="55">
        <v>23.327000000000002</v>
      </c>
      <c r="BD23" s="55">
        <v>26.588000000000001</v>
      </c>
      <c r="BE23" s="55">
        <f t="shared" si="22"/>
        <v>24.957500000000003</v>
      </c>
      <c r="BF23" s="55">
        <f t="shared" si="23"/>
        <v>2.305875213449331</v>
      </c>
      <c r="BG23" s="2">
        <v>25.3</v>
      </c>
      <c r="BH23" s="2">
        <v>25.5</v>
      </c>
      <c r="BI23" s="2">
        <v>25.6</v>
      </c>
      <c r="BJ23" s="37">
        <f t="shared" ref="BJ23:BJ25" si="34">AVERAGE(BG23:BI23)</f>
        <v>25.466666666666669</v>
      </c>
      <c r="BK23" s="2">
        <f t="shared" si="33"/>
        <v>0.15275252316519491</v>
      </c>
      <c r="BL23" s="8">
        <v>0.67</v>
      </c>
      <c r="BM23" s="8">
        <v>0.66</v>
      </c>
      <c r="BN23" s="8">
        <v>0.65</v>
      </c>
      <c r="BO23" s="8">
        <f t="shared" si="26"/>
        <v>0.66</v>
      </c>
      <c r="BP23" s="9">
        <f t="shared" si="27"/>
        <v>1.0000000000000009E-2</v>
      </c>
      <c r="BQ23" s="10">
        <v>34</v>
      </c>
      <c r="BR23" s="10">
        <v>37</v>
      </c>
      <c r="BS23" s="10">
        <v>5</v>
      </c>
      <c r="BT23" s="10">
        <v>2</v>
      </c>
      <c r="BU23" s="10">
        <f t="shared" si="28"/>
        <v>44</v>
      </c>
      <c r="BV23" s="10">
        <v>11.67</v>
      </c>
      <c r="BW23" s="10">
        <v>3.91</v>
      </c>
      <c r="BX23" s="10">
        <v>9.41</v>
      </c>
      <c r="BY23" s="38">
        <v>45994</v>
      </c>
      <c r="BZ23" s="3" t="s">
        <v>84</v>
      </c>
      <c r="CA23" s="16"/>
    </row>
    <row r="24" spans="2:79" ht="14.25" x14ac:dyDescent="0.2">
      <c r="B24" s="3">
        <v>1</v>
      </c>
      <c r="C24" s="3">
        <v>1</v>
      </c>
      <c r="D24" s="4">
        <v>18</v>
      </c>
      <c r="E24" s="3">
        <v>210</v>
      </c>
      <c r="F24" s="3">
        <v>200</v>
      </c>
      <c r="G24" s="3">
        <v>0.2</v>
      </c>
      <c r="H24" s="3">
        <v>30</v>
      </c>
      <c r="I24" s="3" t="s">
        <v>86</v>
      </c>
      <c r="J24" s="3">
        <v>10</v>
      </c>
      <c r="K24" s="2">
        <v>69.709999999999994</v>
      </c>
      <c r="L24" s="2">
        <v>69.77</v>
      </c>
      <c r="M24" s="2">
        <v>69.739999999999995</v>
      </c>
      <c r="N24" s="54">
        <f t="shared" ref="N24:N39" si="35">AVERAGE(K24:M24)</f>
        <v>69.739999999999995</v>
      </c>
      <c r="O24" s="54">
        <f t="shared" ref="O24:O39" si="36">_xlfn.STDEV.S(K24:M24)</f>
        <v>3.0000000000001137E-2</v>
      </c>
      <c r="P24" s="54">
        <f t="shared" si="6"/>
        <v>0.26000000000000512</v>
      </c>
      <c r="Q24" s="3">
        <v>49.73</v>
      </c>
      <c r="R24" s="3">
        <v>49.7</v>
      </c>
      <c r="S24" s="3">
        <v>49.75</v>
      </c>
      <c r="T24" s="55">
        <f t="shared" si="29"/>
        <v>49.726666666666667</v>
      </c>
      <c r="U24" s="55">
        <f t="shared" si="30"/>
        <v>2.5166114784234118E-2</v>
      </c>
      <c r="V24" s="55">
        <f t="shared" si="7"/>
        <v>0.27333333333333343</v>
      </c>
      <c r="W24" s="3">
        <v>4.9800000000000004</v>
      </c>
      <c r="X24" s="3">
        <v>4.9800000000000004</v>
      </c>
      <c r="Y24" s="3">
        <v>4.99</v>
      </c>
      <c r="Z24" s="55">
        <f t="shared" si="31"/>
        <v>4.9833333333333334</v>
      </c>
      <c r="AA24" s="55">
        <f t="shared" si="32"/>
        <v>5.7735026918961348E-3</v>
      </c>
      <c r="AB24" s="55">
        <f t="shared" si="8"/>
        <v>1.6666666666666607E-2</v>
      </c>
      <c r="AC24" s="51">
        <v>69.943100000000001</v>
      </c>
      <c r="AD24" s="51">
        <f t="shared" si="9"/>
        <v>5.689999999999884E-2</v>
      </c>
      <c r="AE24" s="51">
        <v>49.177799999999998</v>
      </c>
      <c r="AF24" s="51">
        <f t="shared" si="10"/>
        <v>0.82220000000000226</v>
      </c>
      <c r="AG24" s="51">
        <v>5.2576999999999998</v>
      </c>
      <c r="AH24" s="51">
        <f t="shared" si="11"/>
        <v>0.25769999999999982</v>
      </c>
      <c r="AI24" s="55">
        <v>7.149</v>
      </c>
      <c r="AJ24" s="55">
        <v>7.2590000000000003</v>
      </c>
      <c r="AK24" s="55">
        <f t="shared" si="12"/>
        <v>7.2040000000000006</v>
      </c>
      <c r="AL24" s="55">
        <f t="shared" si="13"/>
        <v>7.7781745930520452E-2</v>
      </c>
      <c r="AM24" s="55">
        <v>5.6150000000000002</v>
      </c>
      <c r="AN24" s="55">
        <v>7.327</v>
      </c>
      <c r="AO24" s="55">
        <f t="shared" si="14"/>
        <v>6.4710000000000001</v>
      </c>
      <c r="AP24" s="55">
        <f t="shared" si="15"/>
        <v>1.2105668093913715</v>
      </c>
      <c r="AQ24" s="55">
        <v>8.0839999999999996</v>
      </c>
      <c r="AR24" s="55">
        <v>8.2620000000000005</v>
      </c>
      <c r="AS24" s="55">
        <f t="shared" si="16"/>
        <v>8.173</v>
      </c>
      <c r="AT24" s="55">
        <f t="shared" si="17"/>
        <v>0.12586500705120604</v>
      </c>
      <c r="AU24" s="55">
        <v>7.31</v>
      </c>
      <c r="AV24" s="55">
        <v>8.34</v>
      </c>
      <c r="AW24" s="55">
        <f t="shared" si="18"/>
        <v>7.8249999999999993</v>
      </c>
      <c r="AX24" s="55">
        <f t="shared" si="19"/>
        <v>0.7283199846221442</v>
      </c>
      <c r="AY24" s="55">
        <v>28.268999999999998</v>
      </c>
      <c r="AZ24" s="55">
        <v>30.948</v>
      </c>
      <c r="BA24" s="55">
        <f t="shared" si="20"/>
        <v>29.608499999999999</v>
      </c>
      <c r="BB24" s="55">
        <f t="shared" si="21"/>
        <v>1.8943390667987623</v>
      </c>
      <c r="BC24" s="55">
        <v>39.790999999999997</v>
      </c>
      <c r="BD24" s="55">
        <v>31.766999999999999</v>
      </c>
      <c r="BE24" s="55">
        <f t="shared" si="22"/>
        <v>35.778999999999996</v>
      </c>
      <c r="BF24" s="55">
        <f t="shared" si="23"/>
        <v>5.6738248122408743</v>
      </c>
      <c r="BG24" s="2">
        <v>24.9</v>
      </c>
      <c r="BH24" s="2">
        <v>25.5</v>
      </c>
      <c r="BI24" s="2">
        <v>25.4</v>
      </c>
      <c r="BJ24" s="37">
        <f>AVERAGE(BG24:BI24)</f>
        <v>25.266666666666666</v>
      </c>
      <c r="BK24" s="2">
        <f>_xlfn.STDEV.S(BG24:BI24)</f>
        <v>0.32145502536643233</v>
      </c>
      <c r="BL24" s="8">
        <v>0.66</v>
      </c>
      <c r="BM24" s="8">
        <v>0.64</v>
      </c>
      <c r="BN24" s="8">
        <v>0.68</v>
      </c>
      <c r="BO24" s="8">
        <f>AVERAGE(BL24:BN24)</f>
        <v>0.66</v>
      </c>
      <c r="BP24" s="9">
        <f>_xlfn.STDEV.S(BL24:BN24)</f>
        <v>2.0000000000000018E-2</v>
      </c>
      <c r="BQ24" s="10">
        <v>53</v>
      </c>
      <c r="BR24" s="10">
        <v>56</v>
      </c>
      <c r="BS24" s="10">
        <v>5</v>
      </c>
      <c r="BT24" s="10">
        <v>2</v>
      </c>
      <c r="BU24" s="10">
        <f t="shared" si="28"/>
        <v>63</v>
      </c>
      <c r="BV24" s="10">
        <v>10.36</v>
      </c>
      <c r="BW24" s="10">
        <v>3.47</v>
      </c>
      <c r="BX24" s="10">
        <v>8.35</v>
      </c>
      <c r="BY24" s="38">
        <v>45994</v>
      </c>
      <c r="BZ24" s="3" t="s">
        <v>84</v>
      </c>
      <c r="CA24" s="16"/>
    </row>
    <row r="25" spans="2:79" ht="14.25" x14ac:dyDescent="0.2">
      <c r="B25" s="3">
        <v>-1</v>
      </c>
      <c r="C25" s="3">
        <v>-1</v>
      </c>
      <c r="D25" s="4">
        <v>19</v>
      </c>
      <c r="E25" s="3">
        <v>200</v>
      </c>
      <c r="F25" s="3">
        <v>150</v>
      </c>
      <c r="G25" s="3">
        <v>0.15</v>
      </c>
      <c r="H25" s="3">
        <v>75</v>
      </c>
      <c r="I25" s="3" t="s">
        <v>85</v>
      </c>
      <c r="J25" s="3">
        <v>10</v>
      </c>
      <c r="K25" s="2">
        <v>69.72</v>
      </c>
      <c r="L25" s="2">
        <v>69.739999999999995</v>
      </c>
      <c r="M25" s="2">
        <v>69.739999999999995</v>
      </c>
      <c r="N25" s="54">
        <f t="shared" si="35"/>
        <v>69.733333333333334</v>
      </c>
      <c r="O25" s="54">
        <f t="shared" si="36"/>
        <v>1.1547005383790217E-2</v>
      </c>
      <c r="P25" s="54">
        <f t="shared" si="6"/>
        <v>0.26666666666666572</v>
      </c>
      <c r="Q25" s="3">
        <v>49.66</v>
      </c>
      <c r="R25" s="3">
        <v>49.68</v>
      </c>
      <c r="S25" s="3">
        <v>49.72</v>
      </c>
      <c r="T25" s="55">
        <f t="shared" si="29"/>
        <v>49.686666666666667</v>
      </c>
      <c r="U25" s="55">
        <f t="shared" si="30"/>
        <v>3.0550504633039832E-2</v>
      </c>
      <c r="V25" s="55">
        <f t="shared" si="7"/>
        <v>0.31333333333333258</v>
      </c>
      <c r="W25" s="3">
        <v>4.96</v>
      </c>
      <c r="X25" s="3">
        <v>4.97</v>
      </c>
      <c r="Y25" s="3">
        <v>4.96</v>
      </c>
      <c r="Z25" s="55">
        <f t="shared" si="31"/>
        <v>4.9633333333333338</v>
      </c>
      <c r="AA25" s="55">
        <f t="shared" si="32"/>
        <v>5.7735026918961348E-3</v>
      </c>
      <c r="AB25" s="55">
        <f t="shared" si="8"/>
        <v>3.6666666666666181E-2</v>
      </c>
      <c r="AC25" s="51">
        <v>69.818700000000007</v>
      </c>
      <c r="AD25" s="51">
        <f t="shared" si="9"/>
        <v>0.18129999999999313</v>
      </c>
      <c r="AE25" s="51">
        <v>49.290900000000001</v>
      </c>
      <c r="AF25" s="51">
        <f t="shared" si="10"/>
        <v>0.7090999999999994</v>
      </c>
      <c r="AG25" s="51">
        <v>5.3030999999999997</v>
      </c>
      <c r="AH25" s="51">
        <f t="shared" si="11"/>
        <v>0.3030999999999997</v>
      </c>
      <c r="AI25" s="55">
        <v>6.3330000000000002</v>
      </c>
      <c r="AJ25" s="55">
        <v>5.4429999999999996</v>
      </c>
      <c r="AK25" s="55">
        <f t="shared" si="12"/>
        <v>5.8879999999999999</v>
      </c>
      <c r="AL25" s="55">
        <f t="shared" si="13"/>
        <v>0.62932503525602768</v>
      </c>
      <c r="AM25" s="55">
        <v>7.7089999999999996</v>
      </c>
      <c r="AN25" s="55">
        <v>7.1719999999999997</v>
      </c>
      <c r="AO25" s="55">
        <f t="shared" si="14"/>
        <v>7.4405000000000001</v>
      </c>
      <c r="AP25" s="55">
        <f t="shared" si="15"/>
        <v>0.37971634149717598</v>
      </c>
      <c r="AQ25" s="55">
        <v>8.7739999999999991</v>
      </c>
      <c r="AR25" s="55">
        <v>8.1999999999999993</v>
      </c>
      <c r="AS25" s="55">
        <f t="shared" si="16"/>
        <v>8.4869999999999983</v>
      </c>
      <c r="AT25" s="55">
        <f t="shared" si="17"/>
        <v>0.40587929240107817</v>
      </c>
      <c r="AU25" s="55">
        <v>10.535</v>
      </c>
      <c r="AV25" s="55">
        <v>9.1539999999999999</v>
      </c>
      <c r="AW25" s="55">
        <f t="shared" si="18"/>
        <v>9.8445</v>
      </c>
      <c r="AX25" s="55">
        <f t="shared" si="19"/>
        <v>0.97651446481862225</v>
      </c>
      <c r="AY25" s="55">
        <v>43.052</v>
      </c>
      <c r="AZ25" s="55">
        <v>44.209000000000003</v>
      </c>
      <c r="BA25" s="55">
        <f t="shared" si="20"/>
        <v>43.630499999999998</v>
      </c>
      <c r="BB25" s="55">
        <f t="shared" si="21"/>
        <v>0.81812254583283794</v>
      </c>
      <c r="BC25" s="55">
        <v>54.557000000000002</v>
      </c>
      <c r="BD25" s="55">
        <v>46.249000000000002</v>
      </c>
      <c r="BE25" s="55">
        <f t="shared" si="22"/>
        <v>50.403000000000006</v>
      </c>
      <c r="BF25" s="55">
        <f t="shared" si="23"/>
        <v>5.874643138097837</v>
      </c>
      <c r="BG25" s="2">
        <v>25.6</v>
      </c>
      <c r="BH25" s="2">
        <v>25.5</v>
      </c>
      <c r="BI25" s="2">
        <v>25.6</v>
      </c>
      <c r="BJ25" s="37">
        <f t="shared" si="34"/>
        <v>25.566666666666666</v>
      </c>
      <c r="BK25" s="2">
        <f t="shared" si="33"/>
        <v>5.77350269189634E-2</v>
      </c>
      <c r="BL25" s="8">
        <v>0.65</v>
      </c>
      <c r="BM25" s="8">
        <v>0.66</v>
      </c>
      <c r="BN25" s="8">
        <v>0.65</v>
      </c>
      <c r="BO25" s="8">
        <f t="shared" ref="BO25:BO39" si="37">AVERAGE(BL25:BN25)</f>
        <v>0.65333333333333332</v>
      </c>
      <c r="BP25" s="9">
        <f t="shared" ref="BP25:BP39" si="38">_xlfn.STDEV.S(BL25:BN25)</f>
        <v>5.7735026918962623E-3</v>
      </c>
      <c r="BQ25" s="10">
        <v>26</v>
      </c>
      <c r="BR25" s="10">
        <v>30</v>
      </c>
      <c r="BS25" s="10">
        <v>5</v>
      </c>
      <c r="BT25" s="10">
        <v>2</v>
      </c>
      <c r="BU25" s="10">
        <f t="shared" si="28"/>
        <v>37</v>
      </c>
      <c r="BV25" s="10">
        <v>8.8800000000000008</v>
      </c>
      <c r="BW25" s="10">
        <v>2.98</v>
      </c>
      <c r="BX25" s="10">
        <v>7.16</v>
      </c>
      <c r="BY25" s="38">
        <v>45994</v>
      </c>
      <c r="BZ25" s="3" t="s">
        <v>84</v>
      </c>
      <c r="CA25" s="16"/>
    </row>
    <row r="26" spans="2:79" ht="14.25" x14ac:dyDescent="0.2">
      <c r="B26" s="3">
        <v>1</v>
      </c>
      <c r="C26" s="3">
        <v>1</v>
      </c>
      <c r="D26" s="4">
        <v>20</v>
      </c>
      <c r="E26" s="3">
        <v>210</v>
      </c>
      <c r="F26" s="3">
        <v>100</v>
      </c>
      <c r="G26" s="3">
        <v>0.1</v>
      </c>
      <c r="H26" s="3">
        <v>30</v>
      </c>
      <c r="I26" s="3" t="s">
        <v>86</v>
      </c>
      <c r="J26" s="3">
        <v>10</v>
      </c>
      <c r="K26" s="2">
        <v>69.81</v>
      </c>
      <c r="L26" s="2">
        <v>69.8</v>
      </c>
      <c r="M26" s="2">
        <v>69.81</v>
      </c>
      <c r="N26" s="54">
        <f t="shared" si="35"/>
        <v>69.806666666666672</v>
      </c>
      <c r="O26" s="54">
        <f t="shared" si="36"/>
        <v>5.7735026918992113E-3</v>
      </c>
      <c r="P26" s="54">
        <f t="shared" si="6"/>
        <v>0.19333333333332803</v>
      </c>
      <c r="Q26" s="3">
        <v>49.76</v>
      </c>
      <c r="R26" s="3">
        <v>49.78</v>
      </c>
      <c r="S26" s="3">
        <v>49.76</v>
      </c>
      <c r="T26" s="55">
        <f t="shared" si="29"/>
        <v>49.766666666666659</v>
      </c>
      <c r="U26" s="55">
        <f t="shared" si="30"/>
        <v>1.154700538379432E-2</v>
      </c>
      <c r="V26" s="55">
        <f t="shared" si="7"/>
        <v>0.23333333333334139</v>
      </c>
      <c r="W26" s="3">
        <v>5</v>
      </c>
      <c r="X26" s="3">
        <v>5.01</v>
      </c>
      <c r="Y26" s="3">
        <v>5.0199999999999996</v>
      </c>
      <c r="Z26" s="55">
        <f t="shared" si="31"/>
        <v>5.01</v>
      </c>
      <c r="AA26" s="55">
        <f t="shared" si="32"/>
        <v>9.9999999999997868E-3</v>
      </c>
      <c r="AB26" s="55">
        <f t="shared" si="8"/>
        <v>9.9999999999997868E-3</v>
      </c>
      <c r="AC26" s="51">
        <v>69.786100000000005</v>
      </c>
      <c r="AD26" s="51">
        <f t="shared" si="9"/>
        <v>0.21389999999999532</v>
      </c>
      <c r="AE26" s="51">
        <v>49.255400000000002</v>
      </c>
      <c r="AF26" s="51">
        <f t="shared" si="10"/>
        <v>0.74459999999999837</v>
      </c>
      <c r="AG26" s="51">
        <v>6.0835999999999997</v>
      </c>
      <c r="AH26" s="51">
        <f t="shared" si="11"/>
        <v>1.0835999999999997</v>
      </c>
      <c r="AI26" s="55">
        <v>3.3519999999999999</v>
      </c>
      <c r="AJ26" s="55">
        <v>3.32</v>
      </c>
      <c r="AK26" s="55">
        <f t="shared" si="12"/>
        <v>3.3359999999999999</v>
      </c>
      <c r="AL26" s="55">
        <f t="shared" si="13"/>
        <v>2.2627416997969541E-2</v>
      </c>
      <c r="AM26" s="55">
        <v>3.96</v>
      </c>
      <c r="AN26" s="55">
        <v>4.9989999999999997</v>
      </c>
      <c r="AO26" s="55">
        <f t="shared" si="14"/>
        <v>4.4794999999999998</v>
      </c>
      <c r="AP26" s="55">
        <f t="shared" si="15"/>
        <v>0.7346839456528228</v>
      </c>
      <c r="AQ26" s="55">
        <v>3.8210000000000002</v>
      </c>
      <c r="AR26" s="55">
        <v>3.89</v>
      </c>
      <c r="AS26" s="55">
        <f t="shared" si="16"/>
        <v>3.8555000000000001</v>
      </c>
      <c r="AT26" s="55">
        <f t="shared" si="17"/>
        <v>4.8790367901871745E-2</v>
      </c>
      <c r="AU26" s="55">
        <v>4.6150000000000002</v>
      </c>
      <c r="AV26" s="55">
        <v>5.9589999999999996</v>
      </c>
      <c r="AW26" s="55">
        <f t="shared" si="18"/>
        <v>5.2869999999999999</v>
      </c>
      <c r="AX26" s="55">
        <f t="shared" si="19"/>
        <v>0.95035151391471662</v>
      </c>
      <c r="AY26" s="55">
        <v>14.257999999999999</v>
      </c>
      <c r="AZ26" s="55">
        <v>15.302</v>
      </c>
      <c r="BA26" s="55">
        <f t="shared" si="20"/>
        <v>14.78</v>
      </c>
      <c r="BB26" s="55">
        <f t="shared" si="21"/>
        <v>0.73821947955875589</v>
      </c>
      <c r="BC26" s="55">
        <v>21.18</v>
      </c>
      <c r="BD26" s="55">
        <v>21.564</v>
      </c>
      <c r="BE26" s="55">
        <f t="shared" si="22"/>
        <v>21.372</v>
      </c>
      <c r="BF26" s="55">
        <f t="shared" si="23"/>
        <v>0.27152900397563451</v>
      </c>
      <c r="BG26" s="2">
        <v>25.3</v>
      </c>
      <c r="BH26" s="2">
        <v>25.7</v>
      </c>
      <c r="BI26" s="2">
        <v>25.3</v>
      </c>
      <c r="BJ26" s="37">
        <f t="shared" ref="BJ26:BJ39" si="39">AVERAGE(BG26:BI26)</f>
        <v>25.433333333333334</v>
      </c>
      <c r="BK26" s="2">
        <f>_xlfn.STDEV.S(BG26:BI26)</f>
        <v>0.23094010767584949</v>
      </c>
      <c r="BL26" s="8">
        <v>0.69</v>
      </c>
      <c r="BM26" s="8">
        <v>0.66</v>
      </c>
      <c r="BN26" s="8">
        <v>0.67</v>
      </c>
      <c r="BO26" s="8">
        <f t="shared" si="37"/>
        <v>0.67333333333333334</v>
      </c>
      <c r="BP26" s="9">
        <f t="shared" si="38"/>
        <v>1.527525231651942E-2</v>
      </c>
      <c r="BQ26" s="10">
        <v>81</v>
      </c>
      <c r="BR26" s="10">
        <v>84</v>
      </c>
      <c r="BS26" s="10">
        <v>5</v>
      </c>
      <c r="BT26" s="10">
        <v>2</v>
      </c>
      <c r="BU26" s="10">
        <f t="shared" si="28"/>
        <v>91</v>
      </c>
      <c r="BV26" s="10">
        <v>8.61</v>
      </c>
      <c r="BW26" s="10">
        <v>2.89</v>
      </c>
      <c r="BX26" s="10">
        <v>6.94</v>
      </c>
      <c r="BY26" s="38">
        <v>45994</v>
      </c>
      <c r="BZ26" s="3" t="s">
        <v>84</v>
      </c>
      <c r="CA26" s="16"/>
    </row>
    <row r="27" spans="2:79" ht="14.25" x14ac:dyDescent="0.2">
      <c r="B27" s="3">
        <v>1</v>
      </c>
      <c r="C27" s="3">
        <v>1</v>
      </c>
      <c r="D27" s="4">
        <v>21</v>
      </c>
      <c r="E27" s="3">
        <v>190</v>
      </c>
      <c r="F27" s="3">
        <v>100</v>
      </c>
      <c r="G27" s="3">
        <v>0.1</v>
      </c>
      <c r="H27" s="3">
        <v>30</v>
      </c>
      <c r="I27" s="3" t="s">
        <v>83</v>
      </c>
      <c r="J27" s="3">
        <v>30</v>
      </c>
      <c r="K27" s="2">
        <v>69.84</v>
      </c>
      <c r="L27" s="2">
        <v>69.84</v>
      </c>
      <c r="M27" s="2">
        <v>69.819999999999993</v>
      </c>
      <c r="N27" s="54">
        <f t="shared" si="35"/>
        <v>69.833333333333329</v>
      </c>
      <c r="O27" s="54">
        <f t="shared" si="36"/>
        <v>1.1547005383798423E-2</v>
      </c>
      <c r="P27" s="54">
        <f t="shared" si="6"/>
        <v>0.1666666666666714</v>
      </c>
      <c r="Q27" s="3">
        <v>49.77</v>
      </c>
      <c r="R27" s="3">
        <v>49.81</v>
      </c>
      <c r="S27" s="3">
        <v>49.82</v>
      </c>
      <c r="T27" s="55">
        <f t="shared" si="29"/>
        <v>49.800000000000004</v>
      </c>
      <c r="U27" s="55">
        <f t="shared" si="30"/>
        <v>2.6457513110644669E-2</v>
      </c>
      <c r="V27" s="55">
        <f t="shared" si="7"/>
        <v>0.19999999999999574</v>
      </c>
      <c r="W27" s="3">
        <v>5.07</v>
      </c>
      <c r="X27" s="3">
        <v>5.07</v>
      </c>
      <c r="Y27" s="3">
        <v>5.08</v>
      </c>
      <c r="Z27" s="55">
        <f t="shared" si="31"/>
        <v>5.0733333333333333</v>
      </c>
      <c r="AA27" s="55">
        <f t="shared" si="32"/>
        <v>5.7735026918961348E-3</v>
      </c>
      <c r="AB27" s="55">
        <f t="shared" si="8"/>
        <v>7.333333333333325E-2</v>
      </c>
      <c r="AC27" s="51">
        <v>69.808300000000003</v>
      </c>
      <c r="AD27" s="51">
        <f t="shared" si="9"/>
        <v>0.19169999999999732</v>
      </c>
      <c r="AE27" s="51">
        <v>49.646700000000003</v>
      </c>
      <c r="AF27" s="51">
        <f t="shared" si="10"/>
        <v>0.35329999999999728</v>
      </c>
      <c r="AG27" s="51">
        <v>5.8227000000000002</v>
      </c>
      <c r="AH27" s="51">
        <f t="shared" si="11"/>
        <v>0.82270000000000021</v>
      </c>
      <c r="AI27" s="55">
        <v>5.1379999999999999</v>
      </c>
      <c r="AJ27" s="55">
        <v>4.9779999999999998</v>
      </c>
      <c r="AK27" s="55">
        <f t="shared" si="12"/>
        <v>5.0579999999999998</v>
      </c>
      <c r="AL27" s="55">
        <f t="shared" si="13"/>
        <v>0.1131370849898477</v>
      </c>
      <c r="AM27" s="55">
        <v>4.3570000000000002</v>
      </c>
      <c r="AN27" s="55">
        <v>5.5019999999999998</v>
      </c>
      <c r="AO27" s="55">
        <f t="shared" si="14"/>
        <v>4.9295</v>
      </c>
      <c r="AP27" s="55">
        <f t="shared" si="15"/>
        <v>0.80963726445859718</v>
      </c>
      <c r="AQ27" s="55">
        <v>8.2929999999999993</v>
      </c>
      <c r="AR27" s="55">
        <v>7.5389999999999997</v>
      </c>
      <c r="AS27" s="55">
        <f t="shared" si="16"/>
        <v>7.9159999999999995</v>
      </c>
      <c r="AT27" s="55">
        <f t="shared" si="17"/>
        <v>0.53315851301465655</v>
      </c>
      <c r="AU27" s="55">
        <v>6.7480000000000002</v>
      </c>
      <c r="AV27" s="55">
        <v>8.6219999999999999</v>
      </c>
      <c r="AW27" s="55">
        <f t="shared" si="18"/>
        <v>7.6850000000000005</v>
      </c>
      <c r="AX27" s="55">
        <f t="shared" si="19"/>
        <v>1.3251181079435848</v>
      </c>
      <c r="AY27" s="55">
        <v>41.115000000000002</v>
      </c>
      <c r="AZ27" s="55">
        <v>32.021999999999998</v>
      </c>
      <c r="BA27" s="55">
        <f t="shared" si="20"/>
        <v>36.5685</v>
      </c>
      <c r="BB27" s="55">
        <f t="shared" si="21"/>
        <v>6.4297219613292889</v>
      </c>
      <c r="BC27" s="55">
        <v>35.398000000000003</v>
      </c>
      <c r="BD27" s="55">
        <v>50.485999999999997</v>
      </c>
      <c r="BE27" s="55">
        <f t="shared" si="22"/>
        <v>42.942</v>
      </c>
      <c r="BF27" s="55">
        <f t="shared" si="23"/>
        <v>10.668827114542605</v>
      </c>
      <c r="BG27" s="2">
        <v>20.8</v>
      </c>
      <c r="BH27" s="2">
        <v>25</v>
      </c>
      <c r="BI27" s="2">
        <v>25.1</v>
      </c>
      <c r="BJ27" s="37">
        <f t="shared" si="39"/>
        <v>23.633333333333336</v>
      </c>
      <c r="BK27" s="2">
        <f t="shared" ref="BK27:BK39" si="40">_xlfn.STDEV.S(BG27:BI27)</f>
        <v>2.4542480178933288</v>
      </c>
      <c r="BL27" s="8">
        <v>0.77</v>
      </c>
      <c r="BM27" s="8">
        <v>0.62</v>
      </c>
      <c r="BN27" s="8">
        <v>0.65</v>
      </c>
      <c r="BO27" s="8">
        <f t="shared" si="37"/>
        <v>0.68</v>
      </c>
      <c r="BP27" s="9">
        <f t="shared" si="38"/>
        <v>7.9372539331937719E-2</v>
      </c>
      <c r="BQ27" s="10">
        <v>113</v>
      </c>
      <c r="BR27" s="10">
        <v>117</v>
      </c>
      <c r="BS27" s="10">
        <v>5</v>
      </c>
      <c r="BT27" s="10">
        <v>2</v>
      </c>
      <c r="BU27" s="10">
        <f t="shared" si="28"/>
        <v>124</v>
      </c>
      <c r="BV27" s="10">
        <v>11.67</v>
      </c>
      <c r="BW27" s="10">
        <v>3.91</v>
      </c>
      <c r="BX27" s="10">
        <v>9.41</v>
      </c>
      <c r="BY27" s="38">
        <v>45995</v>
      </c>
      <c r="BZ27" s="3" t="s">
        <v>84</v>
      </c>
      <c r="CA27" s="16"/>
    </row>
    <row r="28" spans="2:79" ht="14.25" x14ac:dyDescent="0.2">
      <c r="B28" s="3">
        <v>1</v>
      </c>
      <c r="C28" s="3">
        <v>1</v>
      </c>
      <c r="D28" s="4">
        <v>22</v>
      </c>
      <c r="E28" s="3">
        <v>210</v>
      </c>
      <c r="F28" s="3">
        <v>200</v>
      </c>
      <c r="G28" s="3">
        <v>0.2</v>
      </c>
      <c r="H28" s="3">
        <v>120</v>
      </c>
      <c r="I28" s="3" t="s">
        <v>86</v>
      </c>
      <c r="J28" s="3">
        <v>30</v>
      </c>
      <c r="K28" s="2">
        <v>69.709999999999994</v>
      </c>
      <c r="L28" s="2">
        <v>69.709999999999994</v>
      </c>
      <c r="M28" s="2">
        <v>69.7</v>
      </c>
      <c r="N28" s="54">
        <f t="shared" si="35"/>
        <v>69.706666666666663</v>
      </c>
      <c r="O28" s="54">
        <f t="shared" si="36"/>
        <v>5.773502691891007E-3</v>
      </c>
      <c r="P28" s="54">
        <f t="shared" si="6"/>
        <v>0.29333333333333655</v>
      </c>
      <c r="Q28" s="3">
        <v>49.67</v>
      </c>
      <c r="R28" s="3">
        <v>49.66</v>
      </c>
      <c r="S28" s="3">
        <v>49.69</v>
      </c>
      <c r="T28" s="55">
        <f t="shared" si="29"/>
        <v>49.673333333333325</v>
      </c>
      <c r="U28" s="55">
        <f t="shared" si="30"/>
        <v>1.5275252316519529E-2</v>
      </c>
      <c r="V28" s="55">
        <f t="shared" si="7"/>
        <v>0.3266666666666751</v>
      </c>
      <c r="W28" s="3">
        <v>5.01</v>
      </c>
      <c r="X28" s="3">
        <v>5.0199999999999996</v>
      </c>
      <c r="Y28" s="3">
        <v>5.04</v>
      </c>
      <c r="Z28" s="55">
        <f t="shared" si="31"/>
        <v>5.0233333333333334</v>
      </c>
      <c r="AA28" s="55">
        <f t="shared" si="32"/>
        <v>1.5275252316519626E-2</v>
      </c>
      <c r="AB28" s="55">
        <f t="shared" si="8"/>
        <v>2.3333333333333428E-2</v>
      </c>
      <c r="AC28" s="51">
        <v>70.3827</v>
      </c>
      <c r="AD28" s="51">
        <f t="shared" si="9"/>
        <v>0.38269999999999982</v>
      </c>
      <c r="AE28" s="51">
        <v>49.564</v>
      </c>
      <c r="AF28" s="51">
        <f t="shared" si="10"/>
        <v>0.43599999999999994</v>
      </c>
      <c r="AG28" s="51">
        <v>5.65</v>
      </c>
      <c r="AH28" s="51">
        <f t="shared" si="11"/>
        <v>0.65000000000000036</v>
      </c>
      <c r="AI28" s="55">
        <v>6.6609999999999996</v>
      </c>
      <c r="AJ28" s="55">
        <v>6.3209999999999997</v>
      </c>
      <c r="AK28" s="55">
        <f t="shared" si="12"/>
        <v>6.4909999999999997</v>
      </c>
      <c r="AL28" s="55">
        <f t="shared" si="13"/>
        <v>0.24041630560342606</v>
      </c>
      <c r="AM28" s="55">
        <v>7.9290000000000003</v>
      </c>
      <c r="AN28" s="55">
        <v>8.0670000000000002</v>
      </c>
      <c r="AO28" s="55">
        <f t="shared" si="14"/>
        <v>7.9980000000000002</v>
      </c>
      <c r="AP28" s="55">
        <f t="shared" si="15"/>
        <v>9.758073580374349E-2</v>
      </c>
      <c r="AQ28" s="55">
        <v>7.7210000000000001</v>
      </c>
      <c r="AR28" s="55">
        <v>7.4320000000000004</v>
      </c>
      <c r="AS28" s="55">
        <f t="shared" si="16"/>
        <v>7.5765000000000002</v>
      </c>
      <c r="AT28" s="55">
        <f t="shared" si="17"/>
        <v>0.20435385976291204</v>
      </c>
      <c r="AU28" s="55">
        <v>9.1199999999999992</v>
      </c>
      <c r="AV28" s="55">
        <v>9.5250000000000004</v>
      </c>
      <c r="AW28" s="55">
        <f t="shared" si="18"/>
        <v>9.3224999999999998</v>
      </c>
      <c r="AX28" s="55">
        <f t="shared" si="19"/>
        <v>0.28637824638055254</v>
      </c>
      <c r="AY28" s="55">
        <v>28.777999999999999</v>
      </c>
      <c r="AZ28" s="55">
        <v>28.852</v>
      </c>
      <c r="BA28" s="55">
        <f t="shared" si="20"/>
        <v>28.814999999999998</v>
      </c>
      <c r="BB28" s="55">
        <f t="shared" si="21"/>
        <v>5.2325901807805664E-2</v>
      </c>
      <c r="BC28" s="55">
        <v>33.777000000000001</v>
      </c>
      <c r="BD28" s="55">
        <v>38.49</v>
      </c>
      <c r="BE28" s="55">
        <f t="shared" si="22"/>
        <v>36.133499999999998</v>
      </c>
      <c r="BF28" s="55">
        <f t="shared" si="23"/>
        <v>3.3325942597321991</v>
      </c>
      <c r="BG28" s="2">
        <v>24.3</v>
      </c>
      <c r="BH28" s="2">
        <v>25.4</v>
      </c>
      <c r="BI28" s="2">
        <v>25.1</v>
      </c>
      <c r="BJ28" s="37">
        <f t="shared" si="39"/>
        <v>24.933333333333337</v>
      </c>
      <c r="BK28" s="2">
        <f t="shared" si="40"/>
        <v>0.56862407030773199</v>
      </c>
      <c r="BL28" s="8">
        <v>0.66</v>
      </c>
      <c r="BM28" s="8">
        <v>0.64</v>
      </c>
      <c r="BN28" s="8">
        <v>0.65</v>
      </c>
      <c r="BO28" s="8">
        <f>AVERAGE(BL28:BN28)</f>
        <v>0.65</v>
      </c>
      <c r="BP28" s="9">
        <f>_xlfn.STDEV.S(BL28:BN28)</f>
        <v>1.0000000000000009E-2</v>
      </c>
      <c r="BQ28" s="10">
        <v>21</v>
      </c>
      <c r="BR28" s="10">
        <v>25</v>
      </c>
      <c r="BS28" s="10">
        <v>5</v>
      </c>
      <c r="BT28" s="10">
        <v>2</v>
      </c>
      <c r="BU28" s="10">
        <f t="shared" si="28"/>
        <v>32</v>
      </c>
      <c r="BV28" s="10">
        <v>13.03</v>
      </c>
      <c r="BW28" s="10">
        <v>4.37</v>
      </c>
      <c r="BX28" s="10">
        <v>10.51</v>
      </c>
      <c r="BY28" s="38">
        <v>45995</v>
      </c>
      <c r="BZ28" s="3" t="s">
        <v>84</v>
      </c>
      <c r="CA28" s="16"/>
    </row>
    <row r="29" spans="2:79" ht="14.25" x14ac:dyDescent="0.2">
      <c r="B29" s="3">
        <v>1</v>
      </c>
      <c r="C29" s="3">
        <v>1</v>
      </c>
      <c r="D29" s="4">
        <v>23</v>
      </c>
      <c r="E29" s="3">
        <v>210</v>
      </c>
      <c r="F29" s="3">
        <v>200</v>
      </c>
      <c r="G29" s="3">
        <v>0.2</v>
      </c>
      <c r="H29" s="3">
        <v>120</v>
      </c>
      <c r="I29" s="3" t="s">
        <v>83</v>
      </c>
      <c r="J29" s="3">
        <v>10</v>
      </c>
      <c r="K29" s="2">
        <v>69.650000000000006</v>
      </c>
      <c r="L29" s="2">
        <v>69.66</v>
      </c>
      <c r="M29" s="2">
        <v>69.7</v>
      </c>
      <c r="N29" s="54">
        <f t="shared" si="35"/>
        <v>69.67</v>
      </c>
      <c r="O29" s="54">
        <f t="shared" si="36"/>
        <v>2.6457513110646015E-2</v>
      </c>
      <c r="P29" s="54">
        <f t="shared" si="6"/>
        <v>0.32999999999999829</v>
      </c>
      <c r="Q29" s="3">
        <v>49.68</v>
      </c>
      <c r="R29" s="3">
        <v>49.64</v>
      </c>
      <c r="S29" s="3">
        <v>49.7</v>
      </c>
      <c r="T29" s="55">
        <f t="shared" si="29"/>
        <v>49.673333333333325</v>
      </c>
      <c r="U29" s="55">
        <f t="shared" si="30"/>
        <v>3.0550504633039832E-2</v>
      </c>
      <c r="V29" s="55">
        <f t="shared" si="7"/>
        <v>0.3266666666666751</v>
      </c>
      <c r="W29" s="3">
        <v>5.03</v>
      </c>
      <c r="X29" s="3">
        <v>5.04</v>
      </c>
      <c r="Y29" s="3">
        <v>5.0599999999999996</v>
      </c>
      <c r="Z29" s="55">
        <f t="shared" si="31"/>
        <v>5.043333333333333</v>
      </c>
      <c r="AA29" s="55">
        <f t="shared" si="32"/>
        <v>1.5275252316519142E-2</v>
      </c>
      <c r="AB29" s="55">
        <f t="shared" si="8"/>
        <v>4.3333333333333002E-2</v>
      </c>
      <c r="AC29" s="51">
        <v>69.946399999999997</v>
      </c>
      <c r="AD29" s="51">
        <f t="shared" si="9"/>
        <v>5.3600000000002979E-2</v>
      </c>
      <c r="AE29" s="51">
        <v>49.141100000000002</v>
      </c>
      <c r="AF29" s="51">
        <f t="shared" si="10"/>
        <v>0.85889999999999844</v>
      </c>
      <c r="AG29" s="51">
        <v>4.8071999999999999</v>
      </c>
      <c r="AH29" s="51">
        <f t="shared" si="11"/>
        <v>0.19280000000000008</v>
      </c>
      <c r="AI29" s="55">
        <v>6.7709999999999999</v>
      </c>
      <c r="AJ29" s="55">
        <v>6.3810000000000002</v>
      </c>
      <c r="AK29" s="55">
        <f>AVERAGE(AI29:AJ29)</f>
        <v>6.5760000000000005</v>
      </c>
      <c r="AL29" s="55">
        <f>_xlfn.STDEV.S(AI29:AJ29)</f>
        <v>0.27577164466275333</v>
      </c>
      <c r="AM29" s="55">
        <v>7.7050000000000001</v>
      </c>
      <c r="AN29" s="55">
        <v>7.66</v>
      </c>
      <c r="AO29" s="55">
        <f t="shared" si="14"/>
        <v>7.6825000000000001</v>
      </c>
      <c r="AP29" s="55">
        <f t="shared" si="15"/>
        <v>3.1819805153394588E-2</v>
      </c>
      <c r="AQ29" s="55">
        <v>7.6660000000000004</v>
      </c>
      <c r="AR29" s="55">
        <v>7.1609999999999996</v>
      </c>
      <c r="AS29" s="55">
        <f>AVERAGE(AQ29:AR29)</f>
        <v>7.4135</v>
      </c>
      <c r="AT29" s="55">
        <f>_xlfn.STDEV.S(AQ29:AR29)</f>
        <v>0.35708892449920704</v>
      </c>
      <c r="AU29" s="55">
        <v>8.8079999999999998</v>
      </c>
      <c r="AV29" s="55">
        <v>8.7560000000000002</v>
      </c>
      <c r="AW29" s="55">
        <f t="shared" si="18"/>
        <v>8.782</v>
      </c>
      <c r="AX29" s="55">
        <f t="shared" si="19"/>
        <v>3.6769552621700188E-2</v>
      </c>
      <c r="AY29" s="55">
        <v>26.696999999999999</v>
      </c>
      <c r="AZ29" s="55">
        <v>25.286000000000001</v>
      </c>
      <c r="BA29" s="55">
        <f t="shared" si="20"/>
        <v>25.991500000000002</v>
      </c>
      <c r="BB29" s="55">
        <f t="shared" si="21"/>
        <v>0.99772766825421699</v>
      </c>
      <c r="BC29" s="55">
        <v>33.65</v>
      </c>
      <c r="BD29" s="55">
        <v>31.76</v>
      </c>
      <c r="BE29" s="55">
        <f t="shared" si="22"/>
        <v>32.704999999999998</v>
      </c>
      <c r="BF29" s="55">
        <f t="shared" si="23"/>
        <v>1.3364318164425728</v>
      </c>
      <c r="BG29" s="2">
        <v>23.8</v>
      </c>
      <c r="BH29" s="2">
        <v>24.3</v>
      </c>
      <c r="BI29" s="2">
        <v>24.9</v>
      </c>
      <c r="BJ29" s="37">
        <f t="shared" si="39"/>
        <v>24.333333333333332</v>
      </c>
      <c r="BK29" s="2">
        <f t="shared" si="40"/>
        <v>0.55075705472860914</v>
      </c>
      <c r="BL29" s="14">
        <v>0.67</v>
      </c>
      <c r="BM29" s="8">
        <v>0.65</v>
      </c>
      <c r="BN29" s="8">
        <v>0.63</v>
      </c>
      <c r="BO29" s="8">
        <f t="shared" si="37"/>
        <v>0.65</v>
      </c>
      <c r="BP29" s="9">
        <f t="shared" si="38"/>
        <v>2.0000000000000018E-2</v>
      </c>
      <c r="BQ29" s="10">
        <v>17</v>
      </c>
      <c r="BR29" s="10">
        <v>21</v>
      </c>
      <c r="BS29" s="10">
        <v>5</v>
      </c>
      <c r="BT29" s="10">
        <v>2</v>
      </c>
      <c r="BU29" s="10">
        <f t="shared" si="28"/>
        <v>28</v>
      </c>
      <c r="BV29" s="10">
        <v>10.36</v>
      </c>
      <c r="BW29" s="10">
        <v>3.47</v>
      </c>
      <c r="BX29" s="10">
        <v>8.35</v>
      </c>
      <c r="BY29" s="38">
        <v>45995</v>
      </c>
      <c r="BZ29" s="3" t="s">
        <v>84</v>
      </c>
      <c r="CA29" s="16"/>
    </row>
    <row r="30" spans="2:79" ht="14.25" x14ac:dyDescent="0.2">
      <c r="B30" s="3">
        <v>1</v>
      </c>
      <c r="C30" s="3">
        <v>1</v>
      </c>
      <c r="D30" s="4">
        <v>24</v>
      </c>
      <c r="E30" s="3">
        <v>210</v>
      </c>
      <c r="F30" s="3">
        <v>200</v>
      </c>
      <c r="G30" s="3">
        <v>0.2</v>
      </c>
      <c r="H30" s="3">
        <v>120</v>
      </c>
      <c r="I30" s="3" t="s">
        <v>86</v>
      </c>
      <c r="J30" s="3">
        <v>10</v>
      </c>
      <c r="K30" s="2">
        <v>69.66</v>
      </c>
      <c r="L30" s="2">
        <v>69.67</v>
      </c>
      <c r="M30" s="2">
        <v>69.7</v>
      </c>
      <c r="N30" s="54">
        <f t="shared" si="35"/>
        <v>69.676666666666662</v>
      </c>
      <c r="O30" s="54">
        <f t="shared" si="36"/>
        <v>2.0816659994664012E-2</v>
      </c>
      <c r="P30" s="54">
        <f t="shared" si="6"/>
        <v>0.32333333333333769</v>
      </c>
      <c r="Q30" s="3">
        <v>49.65</v>
      </c>
      <c r="R30" s="3">
        <v>49.68</v>
      </c>
      <c r="S30" s="3">
        <v>49.67</v>
      </c>
      <c r="T30" s="55">
        <f t="shared" si="29"/>
        <v>49.666666666666664</v>
      </c>
      <c r="U30" s="55">
        <f t="shared" si="30"/>
        <v>1.5275252316520303E-2</v>
      </c>
      <c r="V30" s="55">
        <f t="shared" si="7"/>
        <v>0.3333333333333357</v>
      </c>
      <c r="W30" s="3">
        <v>5.05</v>
      </c>
      <c r="X30" s="3">
        <v>5</v>
      </c>
      <c r="Y30" s="3">
        <v>5.01</v>
      </c>
      <c r="Z30" s="55">
        <f t="shared" si="31"/>
        <v>5.0200000000000005</v>
      </c>
      <c r="AA30" s="55">
        <f t="shared" si="32"/>
        <v>2.6457513110645845E-2</v>
      </c>
      <c r="AB30" s="55">
        <f t="shared" si="8"/>
        <v>2.0000000000000462E-2</v>
      </c>
      <c r="AC30" s="51">
        <v>69.631399999999999</v>
      </c>
      <c r="AD30" s="51">
        <f t="shared" si="9"/>
        <v>0.3686000000000007</v>
      </c>
      <c r="AE30" s="51">
        <v>49.1995</v>
      </c>
      <c r="AF30" s="51">
        <f t="shared" si="10"/>
        <v>0.80049999999999955</v>
      </c>
      <c r="AG30" s="51">
        <v>6.3262999999999998</v>
      </c>
      <c r="AH30" s="51">
        <f t="shared" si="11"/>
        <v>1.3262999999999998</v>
      </c>
      <c r="AI30" s="55">
        <v>6.8120000000000003</v>
      </c>
      <c r="AJ30" s="55">
        <v>6.7409999999999997</v>
      </c>
      <c r="AK30" s="55">
        <f t="shared" si="12"/>
        <v>6.7765000000000004</v>
      </c>
      <c r="AL30" s="55">
        <f t="shared" si="13"/>
        <v>5.0204581464245307E-2</v>
      </c>
      <c r="AM30" s="55">
        <v>7.117</v>
      </c>
      <c r="AN30" s="55">
        <v>7.3869999999999996</v>
      </c>
      <c r="AO30" s="55">
        <f t="shared" si="14"/>
        <v>7.2519999999999998</v>
      </c>
      <c r="AP30" s="55">
        <f t="shared" si="15"/>
        <v>0.19091883092036754</v>
      </c>
      <c r="AQ30" s="55">
        <v>7.7089999999999996</v>
      </c>
      <c r="AR30" s="55">
        <v>7.617</v>
      </c>
      <c r="AS30" s="55">
        <f t="shared" si="16"/>
        <v>7.6630000000000003</v>
      </c>
      <c r="AT30" s="55">
        <f t="shared" si="17"/>
        <v>6.5053823869162114E-2</v>
      </c>
      <c r="AU30" s="55">
        <v>8.2509999999999994</v>
      </c>
      <c r="AV30" s="55">
        <v>8.4440000000000008</v>
      </c>
      <c r="AW30" s="55">
        <f t="shared" si="18"/>
        <v>8.3475000000000001</v>
      </c>
      <c r="AX30" s="55">
        <f t="shared" si="19"/>
        <v>0.13647160876900466</v>
      </c>
      <c r="AY30" s="55">
        <v>28.751000000000001</v>
      </c>
      <c r="AZ30" s="55">
        <v>27.76</v>
      </c>
      <c r="BA30" s="55">
        <f t="shared" si="20"/>
        <v>28.255500000000001</v>
      </c>
      <c r="BB30" s="55">
        <f t="shared" si="21"/>
        <v>0.70074282015586831</v>
      </c>
      <c r="BC30" s="55">
        <v>31.303999999999998</v>
      </c>
      <c r="BD30" s="55">
        <v>31.984999999999999</v>
      </c>
      <c r="BE30" s="55">
        <f t="shared" si="22"/>
        <v>31.644500000000001</v>
      </c>
      <c r="BF30" s="55">
        <f t="shared" si="23"/>
        <v>0.48153971798803952</v>
      </c>
      <c r="BG30" s="2">
        <v>24.4</v>
      </c>
      <c r="BH30" s="2">
        <v>24.7</v>
      </c>
      <c r="BI30" s="2">
        <v>25.2</v>
      </c>
      <c r="BJ30" s="37">
        <f t="shared" si="39"/>
        <v>24.766666666666666</v>
      </c>
      <c r="BK30" s="2">
        <f t="shared" si="40"/>
        <v>0.40414518843273839</v>
      </c>
      <c r="BL30" s="8">
        <v>0.64</v>
      </c>
      <c r="BM30" s="8">
        <v>0.64</v>
      </c>
      <c r="BN30" s="8">
        <v>0.62</v>
      </c>
      <c r="BO30" s="8">
        <f t="shared" si="37"/>
        <v>0.6333333333333333</v>
      </c>
      <c r="BP30" s="9">
        <f t="shared" si="38"/>
        <v>1.1547005383792525E-2</v>
      </c>
      <c r="BQ30" s="10">
        <v>17</v>
      </c>
      <c r="BR30" s="10">
        <v>21</v>
      </c>
      <c r="BS30" s="10">
        <v>5</v>
      </c>
      <c r="BT30" s="10">
        <v>2</v>
      </c>
      <c r="BU30" s="10">
        <f t="shared" si="28"/>
        <v>28</v>
      </c>
      <c r="BV30" s="10">
        <v>10.36</v>
      </c>
      <c r="BW30" s="10">
        <v>3.47</v>
      </c>
      <c r="BX30" s="10">
        <v>8.35</v>
      </c>
      <c r="BY30" s="38">
        <v>45995</v>
      </c>
      <c r="BZ30" s="3" t="s">
        <v>84</v>
      </c>
      <c r="CA30" s="16"/>
    </row>
    <row r="31" spans="2:79" ht="14.25" x14ac:dyDescent="0.2">
      <c r="B31" s="3">
        <v>1</v>
      </c>
      <c r="C31" s="3">
        <v>1</v>
      </c>
      <c r="D31" s="4">
        <v>25</v>
      </c>
      <c r="E31" s="3">
        <v>210</v>
      </c>
      <c r="F31" s="3">
        <v>200</v>
      </c>
      <c r="G31" s="3">
        <v>0.2</v>
      </c>
      <c r="H31" s="3">
        <v>30</v>
      </c>
      <c r="I31" s="3" t="s">
        <v>83</v>
      </c>
      <c r="J31" s="3">
        <v>10</v>
      </c>
      <c r="K31" s="2">
        <v>69.77</v>
      </c>
      <c r="L31" s="2">
        <v>69.8</v>
      </c>
      <c r="M31" s="2">
        <v>69.78</v>
      </c>
      <c r="N31" s="54">
        <f t="shared" si="35"/>
        <v>69.783333333333331</v>
      </c>
      <c r="O31" s="54">
        <f t="shared" si="36"/>
        <v>1.5275252316519527E-2</v>
      </c>
      <c r="P31" s="54">
        <f t="shared" si="6"/>
        <v>0.21666666666666856</v>
      </c>
      <c r="Q31" s="3">
        <v>49.83</v>
      </c>
      <c r="R31" s="3">
        <v>49.83</v>
      </c>
      <c r="S31" s="3">
        <v>49.78</v>
      </c>
      <c r="T31" s="55">
        <f t="shared" si="29"/>
        <v>49.813333333333333</v>
      </c>
      <c r="U31" s="55">
        <f t="shared" si="30"/>
        <v>2.8867513459479646E-2</v>
      </c>
      <c r="V31" s="55">
        <f t="shared" si="7"/>
        <v>0.18666666666666742</v>
      </c>
      <c r="W31" s="3">
        <v>5</v>
      </c>
      <c r="X31" s="3">
        <v>4.99</v>
      </c>
      <c r="Y31" s="3">
        <v>5</v>
      </c>
      <c r="Z31" s="55">
        <f t="shared" si="31"/>
        <v>4.996666666666667</v>
      </c>
      <c r="AA31" s="55">
        <f t="shared" si="32"/>
        <v>5.7735026918961348E-3</v>
      </c>
      <c r="AB31" s="55">
        <f t="shared" si="8"/>
        <v>3.3333333333329662E-3</v>
      </c>
      <c r="AC31" s="51">
        <v>70.565700000000007</v>
      </c>
      <c r="AD31" s="51">
        <f t="shared" si="9"/>
        <v>0.56570000000000675</v>
      </c>
      <c r="AE31" s="51">
        <v>49.742899999999999</v>
      </c>
      <c r="AF31" s="51">
        <f t="shared" si="10"/>
        <v>0.25710000000000122</v>
      </c>
      <c r="AG31" s="51">
        <v>5.9424000000000001</v>
      </c>
      <c r="AH31" s="51">
        <f t="shared" si="11"/>
        <v>0.94240000000000013</v>
      </c>
      <c r="AI31" s="55">
        <v>7.2839999999999998</v>
      </c>
      <c r="AJ31" s="55">
        <v>7.0469999999999997</v>
      </c>
      <c r="AK31" s="55">
        <f t="shared" si="12"/>
        <v>7.1654999999999998</v>
      </c>
      <c r="AL31" s="55">
        <f t="shared" si="13"/>
        <v>0.16758430714121184</v>
      </c>
      <c r="AM31" s="55">
        <v>7.8730000000000002</v>
      </c>
      <c r="AN31" s="55">
        <v>7.5389999999999997</v>
      </c>
      <c r="AO31" s="55">
        <f t="shared" si="14"/>
        <v>7.7059999999999995</v>
      </c>
      <c r="AP31" s="55">
        <f t="shared" si="15"/>
        <v>0.23617366491630723</v>
      </c>
      <c r="AQ31" s="55">
        <v>8.2219999999999995</v>
      </c>
      <c r="AR31" s="55">
        <v>7.9290000000000003</v>
      </c>
      <c r="AS31" s="55">
        <f t="shared" si="16"/>
        <v>8.0754999999999999</v>
      </c>
      <c r="AT31" s="55">
        <f t="shared" si="17"/>
        <v>0.20718228688765791</v>
      </c>
      <c r="AU31" s="55">
        <v>9.1289999999999996</v>
      </c>
      <c r="AV31" s="55">
        <v>8.5679999999999996</v>
      </c>
      <c r="AW31" s="55">
        <f t="shared" si="18"/>
        <v>8.8484999999999996</v>
      </c>
      <c r="AX31" s="55">
        <f t="shared" si="19"/>
        <v>0.39668690424565312</v>
      </c>
      <c r="AY31" s="55">
        <v>28.53</v>
      </c>
      <c r="AZ31" s="55">
        <v>26.678999999999998</v>
      </c>
      <c r="BA31" s="55">
        <f t="shared" si="20"/>
        <v>27.604500000000002</v>
      </c>
      <c r="BB31" s="55">
        <f t="shared" si="21"/>
        <v>1.3088546519763014</v>
      </c>
      <c r="BC31" s="55">
        <v>38.436999999999998</v>
      </c>
      <c r="BD31" s="55">
        <v>32.078000000000003</v>
      </c>
      <c r="BE31" s="55">
        <f t="shared" si="22"/>
        <v>35.2575</v>
      </c>
      <c r="BF31" s="55">
        <f t="shared" si="23"/>
        <v>4.4964920215652517</v>
      </c>
      <c r="BG31" s="2">
        <v>25</v>
      </c>
      <c r="BH31" s="2">
        <v>25.5</v>
      </c>
      <c r="BI31" s="2">
        <v>25.4</v>
      </c>
      <c r="BJ31" s="37">
        <f t="shared" si="39"/>
        <v>25.3</v>
      </c>
      <c r="BK31" s="2">
        <f t="shared" si="40"/>
        <v>0.26457513110645881</v>
      </c>
      <c r="BL31" s="8">
        <v>0.62</v>
      </c>
      <c r="BM31" s="8">
        <v>0.62</v>
      </c>
      <c r="BN31" s="8">
        <v>0.65</v>
      </c>
      <c r="BO31" s="8">
        <f t="shared" si="37"/>
        <v>0.63</v>
      </c>
      <c r="BP31" s="9">
        <f t="shared" si="38"/>
        <v>1.732050807568879E-2</v>
      </c>
      <c r="BQ31" s="10">
        <v>53</v>
      </c>
      <c r="BR31" s="10">
        <v>57</v>
      </c>
      <c r="BS31" s="10">
        <v>5</v>
      </c>
      <c r="BT31" s="10">
        <v>2</v>
      </c>
      <c r="BU31" s="10">
        <f t="shared" si="28"/>
        <v>64</v>
      </c>
      <c r="BV31" s="10">
        <v>10.36</v>
      </c>
      <c r="BW31" s="10">
        <v>3.47</v>
      </c>
      <c r="BX31" s="10">
        <v>8.35</v>
      </c>
      <c r="BY31" s="38">
        <v>45995</v>
      </c>
      <c r="BZ31" s="3" t="s">
        <v>84</v>
      </c>
      <c r="CA31" s="16"/>
    </row>
    <row r="32" spans="2:79" ht="14.25" x14ac:dyDescent="0.2">
      <c r="B32" s="3">
        <v>0</v>
      </c>
      <c r="C32" s="3">
        <v>-1</v>
      </c>
      <c r="D32" s="4">
        <v>26</v>
      </c>
      <c r="E32" s="3">
        <v>200</v>
      </c>
      <c r="F32" s="3">
        <v>150</v>
      </c>
      <c r="G32" s="3">
        <v>0.15</v>
      </c>
      <c r="H32" s="3">
        <v>75</v>
      </c>
      <c r="I32" s="3" t="s">
        <v>86</v>
      </c>
      <c r="J32" s="3">
        <v>20</v>
      </c>
      <c r="K32" s="2">
        <v>69.8</v>
      </c>
      <c r="L32" s="2">
        <v>69.84</v>
      </c>
      <c r="M32" s="2">
        <v>69.86</v>
      </c>
      <c r="N32" s="54">
        <f t="shared" si="35"/>
        <v>69.833333333333329</v>
      </c>
      <c r="O32" s="54">
        <f t="shared" si="36"/>
        <v>3.0550504633040605E-2</v>
      </c>
      <c r="P32" s="54">
        <f t="shared" si="6"/>
        <v>0.1666666666666714</v>
      </c>
      <c r="Q32" s="3">
        <v>49.73</v>
      </c>
      <c r="R32" s="3">
        <v>49.73</v>
      </c>
      <c r="S32" s="3">
        <v>49.79</v>
      </c>
      <c r="T32" s="55">
        <f t="shared" si="29"/>
        <v>49.75</v>
      </c>
      <c r="U32" s="55">
        <f t="shared" si="30"/>
        <v>3.4641016151378858E-2</v>
      </c>
      <c r="V32" s="55">
        <f t="shared" si="7"/>
        <v>0.25</v>
      </c>
      <c r="W32" s="3">
        <v>5.05</v>
      </c>
      <c r="X32" s="3">
        <v>5.0599999999999996</v>
      </c>
      <c r="Y32" s="3">
        <v>5.04</v>
      </c>
      <c r="Z32" s="55">
        <f t="shared" si="31"/>
        <v>5.05</v>
      </c>
      <c r="AA32" s="55">
        <f t="shared" si="32"/>
        <v>9.9999999999997868E-3</v>
      </c>
      <c r="AB32" s="55">
        <f t="shared" si="8"/>
        <v>4.9999999999999822E-2</v>
      </c>
      <c r="AC32" s="51">
        <v>69.8292</v>
      </c>
      <c r="AD32" s="51">
        <f t="shared" si="9"/>
        <v>0.17079999999999984</v>
      </c>
      <c r="AE32" s="51">
        <v>49.522199999999998</v>
      </c>
      <c r="AF32" s="51">
        <f t="shared" si="10"/>
        <v>0.477800000000002</v>
      </c>
      <c r="AG32" s="51">
        <v>4.9832000000000001</v>
      </c>
      <c r="AH32" s="51">
        <f t="shared" si="11"/>
        <v>1.6799999999999926E-2</v>
      </c>
      <c r="AI32" s="55">
        <v>8.6479999999999997</v>
      </c>
      <c r="AJ32" s="55">
        <v>7.58</v>
      </c>
      <c r="AK32" s="55">
        <f t="shared" si="12"/>
        <v>8.1140000000000008</v>
      </c>
      <c r="AL32" s="55">
        <f t="shared" si="13"/>
        <v>0.75519004230723252</v>
      </c>
      <c r="AM32" s="55">
        <v>10.904999999999999</v>
      </c>
      <c r="AN32" s="55">
        <v>11.183999999999999</v>
      </c>
      <c r="AO32" s="55">
        <f t="shared" si="14"/>
        <v>11.044499999999999</v>
      </c>
      <c r="AP32" s="55">
        <f t="shared" si="15"/>
        <v>0.1972827919510467</v>
      </c>
      <c r="AQ32" s="55">
        <v>13.162000000000001</v>
      </c>
      <c r="AR32" s="55">
        <v>12.087</v>
      </c>
      <c r="AS32" s="55">
        <f t="shared" si="16"/>
        <v>12.624500000000001</v>
      </c>
      <c r="AT32" s="55">
        <f t="shared" si="17"/>
        <v>0.76013978977553931</v>
      </c>
      <c r="AU32" s="55">
        <v>14.948</v>
      </c>
      <c r="AV32" s="55">
        <v>15.458</v>
      </c>
      <c r="AW32" s="55">
        <f t="shared" si="18"/>
        <v>15.202999999999999</v>
      </c>
      <c r="AX32" s="55">
        <f t="shared" si="19"/>
        <v>0.36062445840513907</v>
      </c>
      <c r="AY32" s="55">
        <v>62.243000000000002</v>
      </c>
      <c r="AZ32" s="55">
        <v>58.243000000000002</v>
      </c>
      <c r="BA32" s="55">
        <f t="shared" si="20"/>
        <v>60.243000000000002</v>
      </c>
      <c r="BB32" s="55">
        <f t="shared" si="21"/>
        <v>2.8284271247461903</v>
      </c>
      <c r="BC32" s="55">
        <v>78.962000000000003</v>
      </c>
      <c r="BD32" s="55">
        <v>71.122</v>
      </c>
      <c r="BE32" s="55">
        <f t="shared" si="22"/>
        <v>75.042000000000002</v>
      </c>
      <c r="BF32" s="55">
        <f t="shared" si="23"/>
        <v>5.5437171645025352</v>
      </c>
      <c r="BG32" s="2">
        <v>25.3</v>
      </c>
      <c r="BH32" s="2">
        <v>26</v>
      </c>
      <c r="BI32" s="2">
        <v>25.3</v>
      </c>
      <c r="BJ32" s="37">
        <f t="shared" si="39"/>
        <v>25.533333333333331</v>
      </c>
      <c r="BK32" s="2">
        <f t="shared" si="40"/>
        <v>0.40414518843273761</v>
      </c>
      <c r="BL32" s="8">
        <v>0.66</v>
      </c>
      <c r="BM32" s="8">
        <v>0.65</v>
      </c>
      <c r="BN32" s="8">
        <v>0.65</v>
      </c>
      <c r="BO32" s="8">
        <f t="shared" si="37"/>
        <v>0.65333333333333332</v>
      </c>
      <c r="BP32" s="9">
        <f t="shared" si="38"/>
        <v>5.7735026918962623E-3</v>
      </c>
      <c r="BQ32" s="10">
        <v>30</v>
      </c>
      <c r="BR32" s="10">
        <v>34</v>
      </c>
      <c r="BS32" s="10">
        <v>5</v>
      </c>
      <c r="BT32" s="10">
        <v>2</v>
      </c>
      <c r="BU32" s="10">
        <f t="shared" si="28"/>
        <v>41</v>
      </c>
      <c r="BV32" s="10">
        <v>10.39</v>
      </c>
      <c r="BW32" s="10">
        <v>3.48</v>
      </c>
      <c r="BX32" s="10">
        <v>8.3800000000000008</v>
      </c>
      <c r="BY32" s="38">
        <v>45995</v>
      </c>
      <c r="BZ32" s="3" t="s">
        <v>84</v>
      </c>
      <c r="CA32" s="16"/>
    </row>
    <row r="33" spans="2:79" ht="14.25" x14ac:dyDescent="0.2">
      <c r="B33" s="3">
        <v>1</v>
      </c>
      <c r="C33" s="3">
        <v>1</v>
      </c>
      <c r="D33" s="4">
        <v>27</v>
      </c>
      <c r="E33" s="3">
        <v>210</v>
      </c>
      <c r="F33" s="3">
        <v>200</v>
      </c>
      <c r="G33" s="3">
        <v>0.2</v>
      </c>
      <c r="H33" s="3">
        <v>30</v>
      </c>
      <c r="I33" s="3" t="s">
        <v>86</v>
      </c>
      <c r="J33" s="3">
        <v>30</v>
      </c>
      <c r="K33" s="2">
        <v>69.78</v>
      </c>
      <c r="L33" s="2">
        <v>69.81</v>
      </c>
      <c r="M33" s="2">
        <v>69.81</v>
      </c>
      <c r="N33" s="54">
        <f t="shared" si="35"/>
        <v>69.8</v>
      </c>
      <c r="O33" s="54">
        <f t="shared" si="36"/>
        <v>1.7320508075689429E-2</v>
      </c>
      <c r="P33" s="54">
        <f t="shared" si="6"/>
        <v>0.20000000000000284</v>
      </c>
      <c r="Q33" s="3">
        <v>49.78</v>
      </c>
      <c r="R33" s="3">
        <v>49.75</v>
      </c>
      <c r="S33" s="3">
        <v>49.81</v>
      </c>
      <c r="T33" s="55">
        <f t="shared" si="29"/>
        <v>49.78</v>
      </c>
      <c r="U33" s="55">
        <f t="shared" si="30"/>
        <v>3.0000000000001137E-2</v>
      </c>
      <c r="V33" s="55">
        <f t="shared" si="7"/>
        <v>0.21999999999999886</v>
      </c>
      <c r="W33" s="3">
        <v>5</v>
      </c>
      <c r="X33" s="3">
        <v>5</v>
      </c>
      <c r="Y33" s="3">
        <v>5.0199999999999996</v>
      </c>
      <c r="Z33" s="55">
        <f t="shared" si="31"/>
        <v>5.0066666666666668</v>
      </c>
      <c r="AA33" s="55">
        <f t="shared" si="32"/>
        <v>1.154700538379227E-2</v>
      </c>
      <c r="AB33" s="55">
        <f t="shared" si="8"/>
        <v>6.6666666666668206E-3</v>
      </c>
      <c r="AC33" s="51">
        <v>69.778899999999993</v>
      </c>
      <c r="AD33" s="51">
        <f t="shared" si="9"/>
        <v>0.22110000000000696</v>
      </c>
      <c r="AE33" s="51">
        <v>51.236400000000003</v>
      </c>
      <c r="AF33" s="51">
        <f t="shared" si="10"/>
        <v>1.2364000000000033</v>
      </c>
      <c r="AG33" s="51">
        <v>5.5602999999999998</v>
      </c>
      <c r="AH33" s="51">
        <f t="shared" si="11"/>
        <v>0.5602999999999998</v>
      </c>
      <c r="AI33" s="55">
        <v>6.4610000000000003</v>
      </c>
      <c r="AJ33" s="55">
        <v>6.19</v>
      </c>
      <c r="AK33" s="55">
        <f t="shared" si="12"/>
        <v>6.3254999999999999</v>
      </c>
      <c r="AL33" s="55">
        <f t="shared" si="13"/>
        <v>0.19162593770155431</v>
      </c>
      <c r="AM33" s="55">
        <v>7.8449999999999998</v>
      </c>
      <c r="AN33" s="55">
        <v>7.2850000000000001</v>
      </c>
      <c r="AO33" s="55">
        <f t="shared" si="14"/>
        <v>7.5649999999999995</v>
      </c>
      <c r="AP33" s="55">
        <f t="shared" si="15"/>
        <v>0.39597979746446632</v>
      </c>
      <c r="AQ33" s="55">
        <v>7.89</v>
      </c>
      <c r="AR33" s="55">
        <v>7.1589999999999998</v>
      </c>
      <c r="AS33" s="55">
        <f t="shared" si="16"/>
        <v>7.5244999999999997</v>
      </c>
      <c r="AT33" s="55">
        <f t="shared" si="17"/>
        <v>0.51689505704736616</v>
      </c>
      <c r="AU33" s="55">
        <v>9.2289999999999992</v>
      </c>
      <c r="AV33" s="55">
        <v>8.3450000000000006</v>
      </c>
      <c r="AW33" s="55">
        <f t="shared" si="18"/>
        <v>8.786999999999999</v>
      </c>
      <c r="AX33" s="55">
        <f t="shared" si="19"/>
        <v>0.62508239456890702</v>
      </c>
      <c r="AY33" s="55">
        <v>35.043999999999997</v>
      </c>
      <c r="AZ33" s="55">
        <v>27.42</v>
      </c>
      <c r="BA33" s="55">
        <f t="shared" si="20"/>
        <v>31.231999999999999</v>
      </c>
      <c r="BB33" s="55">
        <f t="shared" si="21"/>
        <v>5.3909820997662363</v>
      </c>
      <c r="BC33" s="55">
        <v>36.505000000000003</v>
      </c>
      <c r="BD33" s="55">
        <v>31.861000000000001</v>
      </c>
      <c r="BE33" s="55">
        <f t="shared" si="22"/>
        <v>34.183</v>
      </c>
      <c r="BF33" s="55">
        <f t="shared" si="23"/>
        <v>3.2838038918303281</v>
      </c>
      <c r="BG33" s="2">
        <v>24.3</v>
      </c>
      <c r="BH33" s="2">
        <v>25.6</v>
      </c>
      <c r="BI33" s="2">
        <v>25.3</v>
      </c>
      <c r="BJ33" s="37">
        <f t="shared" si="39"/>
        <v>25.066666666666666</v>
      </c>
      <c r="BK33" s="2">
        <f t="shared" si="40"/>
        <v>0.68068592855540477</v>
      </c>
      <c r="BL33" s="8">
        <v>0.68</v>
      </c>
      <c r="BM33" s="8">
        <v>0.63</v>
      </c>
      <c r="BN33" s="8">
        <v>0.63</v>
      </c>
      <c r="BO33" s="8">
        <f t="shared" si="37"/>
        <v>0.64666666666666661</v>
      </c>
      <c r="BP33" s="9">
        <f t="shared" si="38"/>
        <v>2.8867513459481315E-2</v>
      </c>
      <c r="BQ33" s="10">
        <v>68</v>
      </c>
      <c r="BR33" s="10">
        <v>72</v>
      </c>
      <c r="BS33" s="10">
        <v>5</v>
      </c>
      <c r="BT33" s="10">
        <v>2</v>
      </c>
      <c r="BU33" s="10">
        <f t="shared" si="28"/>
        <v>79</v>
      </c>
      <c r="BV33" s="10">
        <v>13.03</v>
      </c>
      <c r="BW33" s="10">
        <v>4.37</v>
      </c>
      <c r="BX33" s="10">
        <v>10.51</v>
      </c>
      <c r="BY33" s="38">
        <v>45995</v>
      </c>
      <c r="BZ33" s="3" t="s">
        <v>84</v>
      </c>
      <c r="CA33" s="16"/>
    </row>
    <row r="34" spans="2:79" ht="14.25" x14ac:dyDescent="0.2">
      <c r="B34" s="3">
        <v>1</v>
      </c>
      <c r="C34" s="3">
        <v>1</v>
      </c>
      <c r="D34" s="63">
        <v>28</v>
      </c>
      <c r="E34" s="3">
        <v>210</v>
      </c>
      <c r="F34" s="3">
        <v>100</v>
      </c>
      <c r="G34" s="3">
        <v>0.1</v>
      </c>
      <c r="H34" s="3">
        <v>30</v>
      </c>
      <c r="I34" s="3" t="s">
        <v>86</v>
      </c>
      <c r="J34" s="3">
        <v>30</v>
      </c>
      <c r="K34" s="2">
        <v>69.91</v>
      </c>
      <c r="L34" s="2">
        <v>69.900000000000006</v>
      </c>
      <c r="M34" s="2">
        <v>69.92</v>
      </c>
      <c r="N34" s="54">
        <f t="shared" si="35"/>
        <v>69.910000000000011</v>
      </c>
      <c r="O34" s="54">
        <f t="shared" si="36"/>
        <v>9.9999999999980105E-3</v>
      </c>
      <c r="P34" s="54">
        <f t="shared" si="6"/>
        <v>8.99999999999892E-2</v>
      </c>
      <c r="Q34" s="3">
        <v>49.82</v>
      </c>
      <c r="R34" s="3">
        <v>49.83</v>
      </c>
      <c r="S34" s="3">
        <v>49.84</v>
      </c>
      <c r="T34" s="55">
        <f t="shared" si="29"/>
        <v>49.830000000000005</v>
      </c>
      <c r="U34" s="55">
        <f t="shared" si="30"/>
        <v>1.0000000000001563E-2</v>
      </c>
      <c r="V34" s="55">
        <f t="shared" si="7"/>
        <v>0.1699999999999946</v>
      </c>
      <c r="W34" s="3">
        <v>5.04</v>
      </c>
      <c r="X34" s="3">
        <v>5.05</v>
      </c>
      <c r="Y34" s="3">
        <v>5.0599999999999996</v>
      </c>
      <c r="Z34" s="55">
        <f t="shared" si="31"/>
        <v>5.05</v>
      </c>
      <c r="AA34" s="55">
        <f t="shared" si="32"/>
        <v>9.9999999999997868E-3</v>
      </c>
      <c r="AB34" s="55">
        <f t="shared" si="8"/>
        <v>4.9999999999999822E-2</v>
      </c>
      <c r="AC34" s="51">
        <v>69.7684</v>
      </c>
      <c r="AD34" s="51">
        <f t="shared" si="9"/>
        <v>0.23160000000000025</v>
      </c>
      <c r="AE34" s="51">
        <v>49.6021</v>
      </c>
      <c r="AF34" s="51">
        <f t="shared" si="10"/>
        <v>0.39789999999999992</v>
      </c>
      <c r="AG34" s="51">
        <v>5.0881999999999996</v>
      </c>
      <c r="AH34" s="51">
        <f t="shared" si="11"/>
        <v>8.8199999999999612E-2</v>
      </c>
      <c r="AI34" s="55">
        <v>8.0139999999999993</v>
      </c>
      <c r="AJ34" s="64" t="s">
        <v>87</v>
      </c>
      <c r="AK34" s="64">
        <f t="shared" si="12"/>
        <v>8.0139999999999993</v>
      </c>
      <c r="AL34" s="64" t="e">
        <f t="shared" si="13"/>
        <v>#DIV/0!</v>
      </c>
      <c r="AM34" s="55">
        <v>5.5549999999999997</v>
      </c>
      <c r="AN34" s="55">
        <v>5.4649999999999999</v>
      </c>
      <c r="AO34" s="55">
        <f t="shared" si="14"/>
        <v>5.51</v>
      </c>
      <c r="AP34" s="55">
        <f t="shared" si="15"/>
        <v>6.3639610306789177E-2</v>
      </c>
      <c r="AQ34" s="55">
        <v>11.5</v>
      </c>
      <c r="AR34" s="64" t="s">
        <v>88</v>
      </c>
      <c r="AS34" s="64">
        <f t="shared" si="16"/>
        <v>11.5</v>
      </c>
      <c r="AT34" s="64" t="e">
        <f t="shared" si="17"/>
        <v>#DIV/0!</v>
      </c>
      <c r="AU34" s="55">
        <v>8.5299999999999994</v>
      </c>
      <c r="AV34" s="55">
        <v>8.3580000000000005</v>
      </c>
      <c r="AW34" s="55">
        <f t="shared" si="18"/>
        <v>8.4439999999999991</v>
      </c>
      <c r="AX34" s="55">
        <f t="shared" si="19"/>
        <v>0.12162236636408534</v>
      </c>
      <c r="AY34" s="55">
        <v>44.511000000000003</v>
      </c>
      <c r="AZ34" s="64" t="s">
        <v>89</v>
      </c>
      <c r="BA34" s="64">
        <f t="shared" si="20"/>
        <v>44.511000000000003</v>
      </c>
      <c r="BB34" s="64" t="e">
        <f t="shared" si="21"/>
        <v>#DIV/0!</v>
      </c>
      <c r="BC34" s="55">
        <v>39.786000000000001</v>
      </c>
      <c r="BD34" s="55">
        <v>39.408000000000001</v>
      </c>
      <c r="BE34" s="55">
        <f t="shared" si="22"/>
        <v>39.597000000000001</v>
      </c>
      <c r="BF34" s="55">
        <f t="shared" si="23"/>
        <v>0.26728636328851507</v>
      </c>
      <c r="BG34" s="2">
        <v>25.2</v>
      </c>
      <c r="BH34" s="2">
        <v>25.3</v>
      </c>
      <c r="BI34" s="2">
        <v>25.2</v>
      </c>
      <c r="BJ34" s="37">
        <f t="shared" si="39"/>
        <v>25.233333333333334</v>
      </c>
      <c r="BK34" s="2">
        <f t="shared" si="40"/>
        <v>5.77350269189634E-2</v>
      </c>
      <c r="BL34" s="8">
        <v>0.64</v>
      </c>
      <c r="BM34" s="8">
        <v>0.63</v>
      </c>
      <c r="BN34" s="8">
        <v>0.63</v>
      </c>
      <c r="BO34" s="8">
        <f t="shared" si="37"/>
        <v>0.6333333333333333</v>
      </c>
      <c r="BP34" s="9">
        <f t="shared" si="38"/>
        <v>5.7735026918962623E-3</v>
      </c>
      <c r="BQ34" s="10">
        <v>113</v>
      </c>
      <c r="BR34" s="10">
        <v>116</v>
      </c>
      <c r="BS34" s="10">
        <v>5</v>
      </c>
      <c r="BT34" s="10">
        <v>2</v>
      </c>
      <c r="BU34" s="10">
        <f t="shared" si="28"/>
        <v>123</v>
      </c>
      <c r="BV34" s="10">
        <v>11.67</v>
      </c>
      <c r="BW34" s="10">
        <v>3.91</v>
      </c>
      <c r="BX34" s="10">
        <v>9.41</v>
      </c>
      <c r="BY34" s="38">
        <v>45995</v>
      </c>
      <c r="BZ34" s="3" t="s">
        <v>84</v>
      </c>
      <c r="CA34" s="16"/>
    </row>
    <row r="35" spans="2:79" ht="14.25" x14ac:dyDescent="0.2">
      <c r="B35" s="3">
        <v>1</v>
      </c>
      <c r="C35" s="3">
        <v>1</v>
      </c>
      <c r="D35" s="4">
        <v>29</v>
      </c>
      <c r="E35" s="3">
        <v>190</v>
      </c>
      <c r="F35" s="3">
        <v>200</v>
      </c>
      <c r="G35" s="3">
        <v>0.2</v>
      </c>
      <c r="H35" s="3">
        <v>30</v>
      </c>
      <c r="I35" s="3" t="s">
        <v>86</v>
      </c>
      <c r="J35" s="3">
        <v>30</v>
      </c>
      <c r="K35" s="2">
        <v>69.75</v>
      </c>
      <c r="L35" s="2">
        <v>69.8</v>
      </c>
      <c r="M35" s="2">
        <v>69.83</v>
      </c>
      <c r="N35" s="54">
        <f t="shared" si="35"/>
        <v>69.793333333333337</v>
      </c>
      <c r="O35" s="54">
        <f t="shared" si="36"/>
        <v>4.0414518843272795E-2</v>
      </c>
      <c r="P35" s="54">
        <f t="shared" si="6"/>
        <v>0.20666666666666345</v>
      </c>
      <c r="Q35" s="3">
        <v>49.73</v>
      </c>
      <c r="R35" s="3">
        <v>49.72</v>
      </c>
      <c r="S35" s="3">
        <v>49.8</v>
      </c>
      <c r="T35" s="55">
        <f t="shared" si="29"/>
        <v>49.75</v>
      </c>
      <c r="U35" s="55">
        <f t="shared" si="30"/>
        <v>4.3588989435406213E-2</v>
      </c>
      <c r="V35" s="55">
        <f t="shared" si="7"/>
        <v>0.25</v>
      </c>
      <c r="W35" s="3">
        <v>5.03</v>
      </c>
      <c r="X35" s="3">
        <v>5.0199999999999996</v>
      </c>
      <c r="Y35" s="3">
        <v>5.0199999999999996</v>
      </c>
      <c r="Z35" s="55">
        <f t="shared" si="31"/>
        <v>5.0233333333333334</v>
      </c>
      <c r="AA35" s="55">
        <f t="shared" si="32"/>
        <v>5.7735026918966474E-3</v>
      </c>
      <c r="AB35" s="55">
        <f t="shared" si="8"/>
        <v>2.3333333333333428E-2</v>
      </c>
      <c r="AC35" s="51">
        <v>69.739699999999999</v>
      </c>
      <c r="AD35" s="51">
        <f t="shared" si="9"/>
        <v>0.26030000000000086</v>
      </c>
      <c r="AE35" s="51">
        <v>49.420499999999997</v>
      </c>
      <c r="AF35" s="51">
        <f t="shared" si="10"/>
        <v>0.57950000000000301</v>
      </c>
      <c r="AG35" s="51">
        <v>5.5651999999999999</v>
      </c>
      <c r="AH35" s="51">
        <f t="shared" si="11"/>
        <v>0.56519999999999992</v>
      </c>
      <c r="AI35" s="55">
        <v>7.9720000000000004</v>
      </c>
      <c r="AJ35" s="55">
        <v>7.7370000000000001</v>
      </c>
      <c r="AK35" s="55">
        <f t="shared" si="12"/>
        <v>7.8544999999999998</v>
      </c>
      <c r="AL35" s="55">
        <f t="shared" si="13"/>
        <v>0.16617009357883888</v>
      </c>
      <c r="AM35" s="55">
        <v>6.2370000000000001</v>
      </c>
      <c r="AN35" s="55">
        <v>7.07</v>
      </c>
      <c r="AO35" s="55">
        <f t="shared" si="14"/>
        <v>6.6535000000000002</v>
      </c>
      <c r="AP35" s="55">
        <f t="shared" si="15"/>
        <v>0.58901994872839425</v>
      </c>
      <c r="AQ35" s="55">
        <v>12.566000000000001</v>
      </c>
      <c r="AR35" s="55">
        <v>12.489000000000001</v>
      </c>
      <c r="AS35" s="55">
        <f t="shared" si="16"/>
        <v>12.5275</v>
      </c>
      <c r="AT35" s="55">
        <f t="shared" si="17"/>
        <v>5.4447222151364126E-2</v>
      </c>
      <c r="AU35" s="55">
        <v>8.9809999999999999</v>
      </c>
      <c r="AV35" s="55">
        <v>11.398</v>
      </c>
      <c r="AW35" s="55">
        <f t="shared" si="18"/>
        <v>10.189499999999999</v>
      </c>
      <c r="AX35" s="55">
        <f t="shared" si="19"/>
        <v>1.7090770901278991</v>
      </c>
      <c r="AY35" s="55">
        <v>60.969000000000001</v>
      </c>
      <c r="AZ35" s="55">
        <v>57.067</v>
      </c>
      <c r="BA35" s="55">
        <f t="shared" si="20"/>
        <v>59.018000000000001</v>
      </c>
      <c r="BB35" s="55">
        <f t="shared" si="21"/>
        <v>2.7591306601899093</v>
      </c>
      <c r="BC35" s="55">
        <v>53.188000000000002</v>
      </c>
      <c r="BD35" s="55">
        <v>64.475999999999999</v>
      </c>
      <c r="BE35" s="55">
        <f t="shared" si="22"/>
        <v>58.832000000000001</v>
      </c>
      <c r="BF35" s="55">
        <f t="shared" si="23"/>
        <v>7.9818213460337457</v>
      </c>
      <c r="BG35" s="2">
        <v>25.1</v>
      </c>
      <c r="BH35" s="2">
        <v>25.3</v>
      </c>
      <c r="BI35" s="2">
        <v>25.4</v>
      </c>
      <c r="BJ35" s="37">
        <f t="shared" si="39"/>
        <v>25.266666666666669</v>
      </c>
      <c r="BK35" s="2">
        <f t="shared" si="40"/>
        <v>0.15275252316519336</v>
      </c>
      <c r="BL35" s="8">
        <v>0.63</v>
      </c>
      <c r="BM35" s="8">
        <v>0.62</v>
      </c>
      <c r="BN35" s="8">
        <v>0.61</v>
      </c>
      <c r="BO35" s="8">
        <f t="shared" si="37"/>
        <v>0.62</v>
      </c>
      <c r="BP35" s="9">
        <f t="shared" si="38"/>
        <v>1.0000000000000009E-2</v>
      </c>
      <c r="BQ35" s="10">
        <v>68</v>
      </c>
      <c r="BR35" s="10">
        <v>71</v>
      </c>
      <c r="BS35" s="10">
        <v>5</v>
      </c>
      <c r="BT35" s="10">
        <v>2</v>
      </c>
      <c r="BU35" s="10">
        <f t="shared" si="28"/>
        <v>78</v>
      </c>
      <c r="BV35" s="10">
        <v>13.03</v>
      </c>
      <c r="BW35" s="10">
        <v>4.37</v>
      </c>
      <c r="BX35" s="10">
        <v>10.51</v>
      </c>
      <c r="BY35" s="38">
        <v>45995</v>
      </c>
      <c r="BZ35" s="3" t="s">
        <v>84</v>
      </c>
      <c r="CA35" s="16"/>
    </row>
    <row r="36" spans="2:79" ht="14.25" x14ac:dyDescent="0.2">
      <c r="B36" s="3">
        <v>1</v>
      </c>
      <c r="C36" s="3">
        <v>1</v>
      </c>
      <c r="D36" s="4">
        <v>30</v>
      </c>
      <c r="E36" s="3">
        <v>210</v>
      </c>
      <c r="F36" s="3">
        <v>100</v>
      </c>
      <c r="G36" s="3">
        <v>0.1</v>
      </c>
      <c r="H36" s="3">
        <v>120</v>
      </c>
      <c r="I36" s="3" t="s">
        <v>83</v>
      </c>
      <c r="J36" s="3">
        <v>30</v>
      </c>
      <c r="K36" s="2">
        <v>69.849999999999994</v>
      </c>
      <c r="L36" s="2">
        <v>69.849999999999994</v>
      </c>
      <c r="M36" s="2">
        <v>69.84</v>
      </c>
      <c r="N36" s="54">
        <f t="shared" si="35"/>
        <v>69.846666666666664</v>
      </c>
      <c r="O36" s="54">
        <f t="shared" si="36"/>
        <v>5.773502691891007E-3</v>
      </c>
      <c r="P36" s="54">
        <f t="shared" si="6"/>
        <v>0.15333333333333599</v>
      </c>
      <c r="Q36" s="3">
        <v>49.8</v>
      </c>
      <c r="R36" s="3">
        <v>49.84</v>
      </c>
      <c r="S36" s="3">
        <v>49.85</v>
      </c>
      <c r="T36" s="55">
        <f t="shared" si="29"/>
        <v>49.830000000000005</v>
      </c>
      <c r="U36" s="55">
        <f t="shared" si="30"/>
        <v>2.6457513110648697E-2</v>
      </c>
      <c r="V36" s="55">
        <f t="shared" si="7"/>
        <v>0.1699999999999946</v>
      </c>
      <c r="W36" s="3">
        <v>5.08</v>
      </c>
      <c r="X36" s="3">
        <v>5.07</v>
      </c>
      <c r="Y36" s="3">
        <v>5.07</v>
      </c>
      <c r="Z36" s="55">
        <f t="shared" si="31"/>
        <v>5.0733333333333333</v>
      </c>
      <c r="AA36" s="55">
        <f t="shared" si="32"/>
        <v>5.7735026918961348E-3</v>
      </c>
      <c r="AB36" s="55">
        <f t="shared" si="8"/>
        <v>7.333333333333325E-2</v>
      </c>
      <c r="AC36" s="51">
        <v>69.878299999999996</v>
      </c>
      <c r="AD36" s="51">
        <f t="shared" si="9"/>
        <v>0.12170000000000414</v>
      </c>
      <c r="AE36" s="51">
        <v>49.3369</v>
      </c>
      <c r="AF36" s="51">
        <f t="shared" si="10"/>
        <v>0.66310000000000002</v>
      </c>
      <c r="AG36" s="51">
        <v>5.5311000000000003</v>
      </c>
      <c r="AH36" s="51">
        <f t="shared" si="11"/>
        <v>0.53110000000000035</v>
      </c>
      <c r="AI36" s="55">
        <v>5.3959999999999999</v>
      </c>
      <c r="AJ36" s="55">
        <v>3.1640000000000001</v>
      </c>
      <c r="AK36" s="55">
        <f t="shared" si="12"/>
        <v>4.28</v>
      </c>
      <c r="AL36" s="55">
        <f t="shared" si="13"/>
        <v>1.5782623356083745</v>
      </c>
      <c r="AM36" s="55">
        <v>3.4820000000000002</v>
      </c>
      <c r="AN36" s="55">
        <v>3.2040000000000002</v>
      </c>
      <c r="AO36" s="55">
        <f t="shared" si="14"/>
        <v>3.343</v>
      </c>
      <c r="AP36" s="55">
        <f t="shared" si="15"/>
        <v>0.19657568516986024</v>
      </c>
      <c r="AQ36" s="55">
        <v>8.16</v>
      </c>
      <c r="AR36" s="55">
        <v>4.9749999999999996</v>
      </c>
      <c r="AS36" s="55">
        <f t="shared" si="16"/>
        <v>6.5674999999999999</v>
      </c>
      <c r="AT36" s="55">
        <f t="shared" si="17"/>
        <v>2.2521350980791546</v>
      </c>
      <c r="AU36" s="55">
        <v>4.806</v>
      </c>
      <c r="AV36" s="55">
        <v>4.4020000000000001</v>
      </c>
      <c r="AW36" s="55">
        <f t="shared" si="18"/>
        <v>4.6040000000000001</v>
      </c>
      <c r="AX36" s="55">
        <f t="shared" si="19"/>
        <v>0.28567113959936513</v>
      </c>
      <c r="AY36" s="55">
        <v>43.801000000000002</v>
      </c>
      <c r="AZ36" s="55">
        <v>29.827999999999999</v>
      </c>
      <c r="BA36" s="55">
        <f t="shared" si="20"/>
        <v>36.814500000000002</v>
      </c>
      <c r="BB36" s="55">
        <f t="shared" si="21"/>
        <v>9.8804030535196059</v>
      </c>
      <c r="BC36" s="55">
        <v>31.983000000000001</v>
      </c>
      <c r="BD36" s="55">
        <v>29.387</v>
      </c>
      <c r="BE36" s="55">
        <f t="shared" si="22"/>
        <v>30.685000000000002</v>
      </c>
      <c r="BF36" s="55">
        <f t="shared" si="23"/>
        <v>1.8356492039602774</v>
      </c>
      <c r="BG36" s="2">
        <v>22</v>
      </c>
      <c r="BH36" s="2">
        <v>24.8</v>
      </c>
      <c r="BI36" s="2">
        <v>25.6</v>
      </c>
      <c r="BJ36" s="37">
        <f t="shared" si="39"/>
        <v>24.133333333333336</v>
      </c>
      <c r="BK36" s="2">
        <f t="shared" si="40"/>
        <v>1.8903262505010441</v>
      </c>
      <c r="BL36" s="8">
        <v>0.73</v>
      </c>
      <c r="BM36" s="8">
        <v>0.62</v>
      </c>
      <c r="BN36" s="8">
        <v>0.57999999999999996</v>
      </c>
      <c r="BO36" s="8">
        <f t="shared" si="37"/>
        <v>0.64333333333333342</v>
      </c>
      <c r="BP36" s="9">
        <f t="shared" si="38"/>
        <v>7.7674534651540297E-2</v>
      </c>
      <c r="BQ36" s="10">
        <v>34</v>
      </c>
      <c r="BR36" s="10">
        <v>38</v>
      </c>
      <c r="BS36" s="10">
        <v>5</v>
      </c>
      <c r="BT36" s="10">
        <v>2</v>
      </c>
      <c r="BU36" s="10">
        <f t="shared" si="28"/>
        <v>45</v>
      </c>
      <c r="BV36" s="10">
        <v>11.67</v>
      </c>
      <c r="BW36" s="10">
        <v>3.91</v>
      </c>
      <c r="BX36" s="10">
        <v>9.41</v>
      </c>
      <c r="BY36" s="38">
        <v>45995</v>
      </c>
      <c r="BZ36" s="3" t="s">
        <v>84</v>
      </c>
      <c r="CA36" s="16"/>
    </row>
    <row r="37" spans="2:79" ht="14.25" x14ac:dyDescent="0.2">
      <c r="B37" s="3">
        <v>1</v>
      </c>
      <c r="C37" s="3">
        <v>1</v>
      </c>
      <c r="D37" s="4">
        <v>31</v>
      </c>
      <c r="E37" s="3">
        <v>210</v>
      </c>
      <c r="F37" s="3">
        <v>100</v>
      </c>
      <c r="G37" s="3">
        <v>0.1</v>
      </c>
      <c r="H37" s="3">
        <v>120</v>
      </c>
      <c r="I37" s="3" t="s">
        <v>83</v>
      </c>
      <c r="J37" s="3">
        <v>10</v>
      </c>
      <c r="K37" s="2">
        <v>69.75</v>
      </c>
      <c r="L37" s="2">
        <v>69.81</v>
      </c>
      <c r="M37" s="2">
        <v>69.819999999999993</v>
      </c>
      <c r="N37" s="54">
        <f t="shared" si="35"/>
        <v>69.793333333333337</v>
      </c>
      <c r="O37" s="54">
        <f t="shared" si="36"/>
        <v>3.7859388971999926E-2</v>
      </c>
      <c r="P37" s="54">
        <f t="shared" si="6"/>
        <v>0.20666666666666345</v>
      </c>
      <c r="Q37" s="3">
        <v>49.85</v>
      </c>
      <c r="R37" s="3">
        <v>49.8</v>
      </c>
      <c r="S37" s="3">
        <v>49.76</v>
      </c>
      <c r="T37" s="55">
        <f t="shared" si="29"/>
        <v>49.803333333333335</v>
      </c>
      <c r="U37" s="55">
        <f t="shared" si="30"/>
        <v>4.5092497528230739E-2</v>
      </c>
      <c r="V37" s="55">
        <f t="shared" si="7"/>
        <v>0.19666666666666544</v>
      </c>
      <c r="W37" s="3">
        <v>5.04</v>
      </c>
      <c r="X37" s="3">
        <v>5.0199999999999996</v>
      </c>
      <c r="Y37" s="3">
        <v>5.04</v>
      </c>
      <c r="Z37" s="55">
        <f t="shared" si="31"/>
        <v>5.0333333333333323</v>
      </c>
      <c r="AA37" s="55">
        <f t="shared" si="32"/>
        <v>1.1547005383792781E-2</v>
      </c>
      <c r="AB37" s="55">
        <f t="shared" si="8"/>
        <v>3.3333333333332327E-2</v>
      </c>
      <c r="AC37" s="51">
        <v>69.668000000000006</v>
      </c>
      <c r="AD37" s="51">
        <f t="shared" si="9"/>
        <v>0.33199999999999363</v>
      </c>
      <c r="AE37" s="51">
        <v>50.140500000000003</v>
      </c>
      <c r="AF37" s="51">
        <f t="shared" si="10"/>
        <v>0.14050000000000296</v>
      </c>
      <c r="AG37" s="51">
        <v>5.7202000000000002</v>
      </c>
      <c r="AH37" s="51">
        <f t="shared" si="11"/>
        <v>0.72020000000000017</v>
      </c>
      <c r="AI37" s="55">
        <v>4.7309999999999999</v>
      </c>
      <c r="AJ37" s="55">
        <v>3.4140000000000001</v>
      </c>
      <c r="AK37" s="55">
        <f t="shared" si="12"/>
        <v>4.0724999999999998</v>
      </c>
      <c r="AL37" s="55">
        <f t="shared" si="13"/>
        <v>0.93125963082268592</v>
      </c>
      <c r="AM37" s="55">
        <v>3.476</v>
      </c>
      <c r="AN37" s="55">
        <v>3.1749999999999998</v>
      </c>
      <c r="AO37" s="55">
        <f t="shared" si="14"/>
        <v>3.3254999999999999</v>
      </c>
      <c r="AP37" s="55">
        <f t="shared" si="15"/>
        <v>0.21283914113715091</v>
      </c>
      <c r="AQ37" s="55">
        <v>7.431</v>
      </c>
      <c r="AR37" s="55">
        <v>5.0650000000000004</v>
      </c>
      <c r="AS37" s="55">
        <f t="shared" si="16"/>
        <v>6.2480000000000002</v>
      </c>
      <c r="AT37" s="55">
        <f t="shared" si="17"/>
        <v>1.6730146442873688</v>
      </c>
      <c r="AU37" s="55">
        <v>4.7880000000000003</v>
      </c>
      <c r="AV37" s="55">
        <v>4.6360000000000001</v>
      </c>
      <c r="AW37" s="55">
        <f t="shared" si="18"/>
        <v>4.7119999999999997</v>
      </c>
      <c r="AX37" s="55">
        <f t="shared" si="19"/>
        <v>0.10748023074035531</v>
      </c>
      <c r="AY37" s="55">
        <v>43.491</v>
      </c>
      <c r="AZ37" s="55">
        <v>29.442</v>
      </c>
      <c r="BA37" s="55">
        <f t="shared" si="20"/>
        <v>36.466499999999996</v>
      </c>
      <c r="BB37" s="55">
        <f t="shared" si="21"/>
        <v>9.9341431688898307</v>
      </c>
      <c r="BC37" s="55">
        <v>28.492000000000001</v>
      </c>
      <c r="BD37" s="55">
        <v>31.553999999999998</v>
      </c>
      <c r="BE37" s="55">
        <f t="shared" si="22"/>
        <v>30.023</v>
      </c>
      <c r="BF37" s="55">
        <f t="shared" si="23"/>
        <v>2.1651609639932068</v>
      </c>
      <c r="BG37" s="2">
        <v>25.6</v>
      </c>
      <c r="BH37" s="2">
        <v>25.4</v>
      </c>
      <c r="BI37" s="2">
        <v>25.4</v>
      </c>
      <c r="BJ37" s="37">
        <f t="shared" si="39"/>
        <v>25.466666666666669</v>
      </c>
      <c r="BK37" s="2">
        <f t="shared" si="40"/>
        <v>0.1154700538379268</v>
      </c>
      <c r="BL37" s="8">
        <v>0.59</v>
      </c>
      <c r="BM37" s="8">
        <v>0.6</v>
      </c>
      <c r="BN37" s="8">
        <v>0.57999999999999996</v>
      </c>
      <c r="BO37" s="8">
        <f t="shared" si="37"/>
        <v>0.59</v>
      </c>
      <c r="BP37" s="9">
        <f t="shared" si="38"/>
        <v>1.0000000000000009E-2</v>
      </c>
      <c r="BQ37" s="10">
        <v>25</v>
      </c>
      <c r="BR37" s="10">
        <v>29</v>
      </c>
      <c r="BS37" s="10">
        <v>5</v>
      </c>
      <c r="BT37" s="10">
        <v>2</v>
      </c>
      <c r="BU37" s="10">
        <f t="shared" si="28"/>
        <v>36</v>
      </c>
      <c r="BV37" s="10">
        <v>8.61</v>
      </c>
      <c r="BW37" s="10">
        <v>2.89</v>
      </c>
      <c r="BX37" s="10">
        <v>6.94</v>
      </c>
      <c r="BY37" s="38">
        <v>45995</v>
      </c>
      <c r="BZ37" s="3" t="s">
        <v>84</v>
      </c>
      <c r="CA37" s="16"/>
    </row>
    <row r="38" spans="2:79" ht="14.25" x14ac:dyDescent="0.2">
      <c r="B38" s="3">
        <v>-1</v>
      </c>
      <c r="C38" s="3">
        <v>-1</v>
      </c>
      <c r="D38" s="4">
        <v>32</v>
      </c>
      <c r="E38" s="3">
        <v>200</v>
      </c>
      <c r="F38" s="3">
        <v>100</v>
      </c>
      <c r="G38" s="3">
        <v>0.1</v>
      </c>
      <c r="H38" s="3">
        <v>75</v>
      </c>
      <c r="I38" s="3" t="s">
        <v>85</v>
      </c>
      <c r="J38" s="3">
        <v>20</v>
      </c>
      <c r="K38" s="2">
        <v>69.87</v>
      </c>
      <c r="L38" s="2">
        <v>69.91</v>
      </c>
      <c r="M38" s="2">
        <v>69.89</v>
      </c>
      <c r="N38" s="54">
        <f t="shared" si="35"/>
        <v>69.89</v>
      </c>
      <c r="O38" s="54">
        <f t="shared" si="36"/>
        <v>1.9999999999996021E-2</v>
      </c>
      <c r="P38" s="54">
        <f t="shared" si="6"/>
        <v>0.10999999999999943</v>
      </c>
      <c r="Q38" s="3">
        <v>49.85</v>
      </c>
      <c r="R38" s="3">
        <v>49.86</v>
      </c>
      <c r="S38" s="3">
        <v>49.87</v>
      </c>
      <c r="T38" s="55">
        <f t="shared" si="29"/>
        <v>49.860000000000007</v>
      </c>
      <c r="U38" s="55">
        <f t="shared" si="30"/>
        <v>9.9999999999980105E-3</v>
      </c>
      <c r="V38" s="55">
        <f t="shared" si="7"/>
        <v>0.13999999999999346</v>
      </c>
      <c r="W38" s="3">
        <v>5.07</v>
      </c>
      <c r="X38" s="3">
        <v>5.07</v>
      </c>
      <c r="Y38" s="3">
        <v>5.09</v>
      </c>
      <c r="Z38" s="55">
        <f t="shared" si="31"/>
        <v>5.0766666666666671</v>
      </c>
      <c r="AA38" s="55">
        <f t="shared" si="32"/>
        <v>1.154700538379227E-2</v>
      </c>
      <c r="AB38" s="55">
        <f t="shared" si="8"/>
        <v>7.6666666666667105E-2</v>
      </c>
      <c r="AC38" s="51">
        <v>74.682299999999998</v>
      </c>
      <c r="AD38" s="51">
        <f t="shared" si="9"/>
        <v>4.6822999999999979</v>
      </c>
      <c r="AE38" s="51">
        <v>51.683799999999998</v>
      </c>
      <c r="AF38" s="51">
        <f t="shared" si="10"/>
        <v>1.683799999999998</v>
      </c>
      <c r="AG38" s="51">
        <v>5.6264000000000003</v>
      </c>
      <c r="AH38" s="51">
        <f t="shared" si="11"/>
        <v>0.62640000000000029</v>
      </c>
      <c r="AI38" s="55">
        <v>4.6790000000000003</v>
      </c>
      <c r="AJ38" s="55">
        <v>3.601</v>
      </c>
      <c r="AK38" s="55">
        <f t="shared" si="12"/>
        <v>4.1400000000000006</v>
      </c>
      <c r="AL38" s="55">
        <f t="shared" si="13"/>
        <v>0.76226111011909126</v>
      </c>
      <c r="AM38" s="55">
        <v>3.472</v>
      </c>
      <c r="AN38" s="55">
        <v>3.0169999999999999</v>
      </c>
      <c r="AO38" s="55">
        <f t="shared" si="14"/>
        <v>3.2444999999999999</v>
      </c>
      <c r="AP38" s="55">
        <f t="shared" si="15"/>
        <v>0.32173358543987918</v>
      </c>
      <c r="AQ38" s="55">
        <v>7.7709999999999999</v>
      </c>
      <c r="AR38" s="55">
        <v>6.125</v>
      </c>
      <c r="AS38" s="55">
        <f t="shared" si="16"/>
        <v>6.9480000000000004</v>
      </c>
      <c r="AT38" s="55">
        <f t="shared" si="17"/>
        <v>1.1638977618330513</v>
      </c>
      <c r="AU38" s="55">
        <v>5.0750000000000002</v>
      </c>
      <c r="AV38" s="55">
        <v>4.3780000000000001</v>
      </c>
      <c r="AW38" s="55">
        <f t="shared" si="18"/>
        <v>4.7264999999999997</v>
      </c>
      <c r="AX38" s="55">
        <f t="shared" si="19"/>
        <v>0.49285342648702363</v>
      </c>
      <c r="AY38" s="55">
        <v>40.387999999999998</v>
      </c>
      <c r="AZ38" s="55">
        <v>31.966999999999999</v>
      </c>
      <c r="BA38" s="55">
        <f t="shared" si="20"/>
        <v>36.177499999999995</v>
      </c>
      <c r="BB38" s="55">
        <f t="shared" si="21"/>
        <v>5.9545462043719635</v>
      </c>
      <c r="BC38" s="55">
        <v>28.158999999999999</v>
      </c>
      <c r="BD38" s="55">
        <v>27.404</v>
      </c>
      <c r="BE38" s="55">
        <f t="shared" si="22"/>
        <v>27.781500000000001</v>
      </c>
      <c r="BF38" s="55">
        <f t="shared" si="23"/>
        <v>0.53386561979584268</v>
      </c>
      <c r="BG38" s="2">
        <v>25.3</v>
      </c>
      <c r="BH38" s="2">
        <v>25.3</v>
      </c>
      <c r="BI38" s="2">
        <v>25.2</v>
      </c>
      <c r="BJ38" s="37">
        <f t="shared" si="39"/>
        <v>25.266666666666666</v>
      </c>
      <c r="BK38" s="2">
        <f t="shared" si="40"/>
        <v>5.77350269189634E-2</v>
      </c>
      <c r="BL38" s="8">
        <v>0.57999999999999996</v>
      </c>
      <c r="BM38" s="8">
        <v>0.56999999999999995</v>
      </c>
      <c r="BN38" s="8">
        <v>0.56999999999999995</v>
      </c>
      <c r="BO38" s="8">
        <f t="shared" si="37"/>
        <v>0.57333333333333325</v>
      </c>
      <c r="BP38" s="9">
        <f t="shared" si="38"/>
        <v>5.7735026918962623E-3</v>
      </c>
      <c r="BQ38" s="10">
        <v>42</v>
      </c>
      <c r="BR38" s="10">
        <v>45</v>
      </c>
      <c r="BS38" s="10">
        <v>5</v>
      </c>
      <c r="BT38" s="10">
        <v>2</v>
      </c>
      <c r="BU38" s="10">
        <f t="shared" si="28"/>
        <v>52</v>
      </c>
      <c r="BV38" s="10">
        <v>10.119999999999999</v>
      </c>
      <c r="BW38" s="10">
        <v>3.39</v>
      </c>
      <c r="BX38" s="10">
        <v>8.16</v>
      </c>
      <c r="BY38" s="38">
        <v>45995</v>
      </c>
      <c r="BZ38" s="3" t="s">
        <v>84</v>
      </c>
      <c r="CA38" s="16"/>
    </row>
    <row r="39" spans="2:79" ht="14.25" x14ac:dyDescent="0.2">
      <c r="B39" s="3">
        <v>1</v>
      </c>
      <c r="C39" s="3">
        <v>1</v>
      </c>
      <c r="D39" s="4">
        <v>33</v>
      </c>
      <c r="E39" s="3">
        <v>190</v>
      </c>
      <c r="F39" s="3">
        <v>200</v>
      </c>
      <c r="G39" s="3">
        <v>0.2</v>
      </c>
      <c r="H39" s="3">
        <v>120</v>
      </c>
      <c r="I39" s="3" t="s">
        <v>83</v>
      </c>
      <c r="J39" s="3">
        <v>10</v>
      </c>
      <c r="K39" s="2">
        <v>69.72</v>
      </c>
      <c r="L39" s="2">
        <v>69.73</v>
      </c>
      <c r="M39" s="2">
        <v>69.709999999999994</v>
      </c>
      <c r="N39" s="54">
        <f t="shared" si="35"/>
        <v>69.719999999999985</v>
      </c>
      <c r="O39" s="54">
        <f t="shared" si="36"/>
        <v>1.0000000000005116E-2</v>
      </c>
      <c r="P39" s="54">
        <f t="shared" si="6"/>
        <v>0.28000000000001535</v>
      </c>
      <c r="Q39" s="3">
        <v>49.77</v>
      </c>
      <c r="R39" s="3">
        <v>49.73</v>
      </c>
      <c r="S39" s="3">
        <v>49.75</v>
      </c>
      <c r="T39" s="55">
        <f t="shared" si="29"/>
        <v>49.75</v>
      </c>
      <c r="U39" s="55">
        <f t="shared" si="30"/>
        <v>2.0000000000003126E-2</v>
      </c>
      <c r="V39" s="55">
        <f t="shared" si="7"/>
        <v>0.25</v>
      </c>
      <c r="W39" s="3">
        <v>5.0199999999999996</v>
      </c>
      <c r="X39" s="3">
        <v>5.0199999999999996</v>
      </c>
      <c r="Y39" s="3">
        <v>5.0199999999999996</v>
      </c>
      <c r="Z39" s="55">
        <f t="shared" si="31"/>
        <v>5.0199999999999996</v>
      </c>
      <c r="AA39" s="55">
        <f t="shared" si="32"/>
        <v>0</v>
      </c>
      <c r="AB39" s="55">
        <f t="shared" si="8"/>
        <v>1.9999999999999574E-2</v>
      </c>
      <c r="AC39" s="51">
        <v>69.626999999999995</v>
      </c>
      <c r="AD39" s="51">
        <f t="shared" si="9"/>
        <v>0.37300000000000466</v>
      </c>
      <c r="AE39" s="51">
        <v>49.336799999999997</v>
      </c>
      <c r="AF39" s="51">
        <f t="shared" si="10"/>
        <v>0.66320000000000334</v>
      </c>
      <c r="AG39" s="51">
        <v>7.0167999999999999</v>
      </c>
      <c r="AH39" s="51">
        <f t="shared" si="11"/>
        <v>2.0167999999999999</v>
      </c>
      <c r="AI39" s="55">
        <v>6.9279999999999999</v>
      </c>
      <c r="AJ39" s="55">
        <v>5.9889999999999999</v>
      </c>
      <c r="AK39" s="55">
        <f t="shared" si="12"/>
        <v>6.4584999999999999</v>
      </c>
      <c r="AL39" s="55">
        <f t="shared" si="13"/>
        <v>0.66397326753416819</v>
      </c>
      <c r="AM39" s="55">
        <v>8.1790000000000003</v>
      </c>
      <c r="AN39" s="55">
        <v>8.1790000000000003</v>
      </c>
      <c r="AO39" s="55">
        <f t="shared" si="14"/>
        <v>8.1790000000000003</v>
      </c>
      <c r="AP39" s="55">
        <f t="shared" si="15"/>
        <v>0</v>
      </c>
      <c r="AQ39" s="55">
        <v>8.01</v>
      </c>
      <c r="AR39" s="55">
        <v>7.4009999999999998</v>
      </c>
      <c r="AS39" s="55">
        <f t="shared" si="16"/>
        <v>7.7054999999999998</v>
      </c>
      <c r="AT39" s="55">
        <f t="shared" si="17"/>
        <v>0.43062802974260744</v>
      </c>
      <c r="AU39" s="55">
        <v>9.9909999999999997</v>
      </c>
      <c r="AV39" s="55">
        <v>9.9909999999999997</v>
      </c>
      <c r="AW39" s="55">
        <f t="shared" si="18"/>
        <v>9.9909999999999997</v>
      </c>
      <c r="AX39" s="55">
        <f t="shared" si="19"/>
        <v>0</v>
      </c>
      <c r="AY39" s="55">
        <v>30.004000000000001</v>
      </c>
      <c r="AZ39" s="55">
        <v>29.818000000000001</v>
      </c>
      <c r="BA39" s="55">
        <f t="shared" si="20"/>
        <v>29.911000000000001</v>
      </c>
      <c r="BB39" s="55">
        <f t="shared" si="21"/>
        <v>0.13152186130069779</v>
      </c>
      <c r="BC39" s="55">
        <v>37.784999999999997</v>
      </c>
      <c r="BD39" s="55">
        <v>37.784999999999997</v>
      </c>
      <c r="BE39" s="55">
        <f t="shared" si="22"/>
        <v>37.784999999999997</v>
      </c>
      <c r="BF39" s="55">
        <f t="shared" si="23"/>
        <v>0</v>
      </c>
      <c r="BG39" s="2">
        <v>25.1</v>
      </c>
      <c r="BH39" s="2">
        <v>24.9</v>
      </c>
      <c r="BI39" s="2">
        <v>25.4</v>
      </c>
      <c r="BJ39" s="37">
        <f t="shared" si="39"/>
        <v>25.133333333333336</v>
      </c>
      <c r="BK39" s="2">
        <f t="shared" si="40"/>
        <v>0.25166114784235816</v>
      </c>
      <c r="BL39" s="8">
        <v>0.56999999999999995</v>
      </c>
      <c r="BM39" s="8">
        <v>0.56999999999999995</v>
      </c>
      <c r="BN39" s="8">
        <v>0.56000000000000005</v>
      </c>
      <c r="BO39" s="8">
        <f t="shared" si="37"/>
        <v>0.56666666666666665</v>
      </c>
      <c r="BP39" s="9">
        <f t="shared" si="38"/>
        <v>5.773502691896199E-3</v>
      </c>
      <c r="BQ39" s="10">
        <v>17</v>
      </c>
      <c r="BR39" s="10">
        <v>20</v>
      </c>
      <c r="BS39" s="10">
        <v>5</v>
      </c>
      <c r="BT39" s="10">
        <v>2</v>
      </c>
      <c r="BU39" s="10">
        <f t="shared" si="28"/>
        <v>27</v>
      </c>
      <c r="BV39" s="10">
        <v>10.36</v>
      </c>
      <c r="BW39" s="10">
        <v>3.47</v>
      </c>
      <c r="BX39" s="10">
        <v>8.35</v>
      </c>
      <c r="BY39" s="38">
        <v>45995</v>
      </c>
      <c r="BZ39" s="3" t="s">
        <v>84</v>
      </c>
      <c r="CA39" s="16"/>
    </row>
    <row r="40" spans="2:79" ht="14.25" x14ac:dyDescent="0.2">
      <c r="B40" s="3">
        <v>0</v>
      </c>
      <c r="C40" s="3">
        <v>-1</v>
      </c>
      <c r="D40" s="4">
        <v>34</v>
      </c>
      <c r="E40" s="3">
        <v>200</v>
      </c>
      <c r="F40" s="3">
        <v>150</v>
      </c>
      <c r="G40" s="3">
        <v>0.15</v>
      </c>
      <c r="H40" s="3">
        <v>75</v>
      </c>
      <c r="I40" s="3" t="s">
        <v>83</v>
      </c>
      <c r="J40" s="3">
        <v>20</v>
      </c>
      <c r="K40" s="2">
        <v>69.8</v>
      </c>
      <c r="L40" s="2">
        <v>69.790000000000006</v>
      </c>
      <c r="M40" s="2">
        <v>69.819999999999993</v>
      </c>
      <c r="N40" s="54">
        <f t="shared" ref="N40:N49" si="41">AVERAGE(K40:M40)</f>
        <v>69.803333333333327</v>
      </c>
      <c r="O40" s="54">
        <f t="shared" ref="O40:O49" si="42">_xlfn.STDEV.S(K40:M40)</f>
        <v>1.5275252316513326E-2</v>
      </c>
      <c r="P40" s="54">
        <f t="shared" si="6"/>
        <v>0.19666666666667254</v>
      </c>
      <c r="Q40" s="3">
        <v>49.79</v>
      </c>
      <c r="R40" s="3">
        <v>49.76</v>
      </c>
      <c r="S40" s="3">
        <v>49.8</v>
      </c>
      <c r="T40" s="55">
        <f t="shared" si="29"/>
        <v>49.783333333333331</v>
      </c>
      <c r="U40" s="55">
        <f t="shared" si="30"/>
        <v>2.0816659994661167E-2</v>
      </c>
      <c r="V40" s="55">
        <f t="shared" si="7"/>
        <v>0.21666666666666856</v>
      </c>
      <c r="W40" s="3">
        <v>5.01</v>
      </c>
      <c r="X40" s="3">
        <v>5</v>
      </c>
      <c r="Y40" s="3">
        <v>5.0199999999999996</v>
      </c>
      <c r="Z40" s="55">
        <f t="shared" si="31"/>
        <v>5.01</v>
      </c>
      <c r="AA40" s="55">
        <f t="shared" si="32"/>
        <v>9.9999999999997868E-3</v>
      </c>
      <c r="AB40" s="55">
        <f t="shared" si="8"/>
        <v>9.9999999999997868E-3</v>
      </c>
      <c r="AC40" s="51">
        <v>69.691100000000006</v>
      </c>
      <c r="AD40" s="51">
        <f t="shared" si="9"/>
        <v>0.30889999999999418</v>
      </c>
      <c r="AE40" s="51">
        <v>49.3996</v>
      </c>
      <c r="AF40" s="51">
        <f t="shared" si="10"/>
        <v>0.60040000000000049</v>
      </c>
      <c r="AG40" s="51">
        <v>4.7736000000000001</v>
      </c>
      <c r="AH40" s="51">
        <f t="shared" si="11"/>
        <v>0.22639999999999993</v>
      </c>
      <c r="AI40" s="55">
        <v>6.9770000000000003</v>
      </c>
      <c r="AJ40" s="55">
        <v>5.9930000000000003</v>
      </c>
      <c r="AK40" s="55">
        <f t="shared" si="12"/>
        <v>6.4850000000000003</v>
      </c>
      <c r="AL40" s="55">
        <f t="shared" si="13"/>
        <v>0.69579307268756274</v>
      </c>
      <c r="AM40" s="55">
        <v>10.14</v>
      </c>
      <c r="AN40" s="55">
        <v>9.1449999999999996</v>
      </c>
      <c r="AO40" s="55">
        <f t="shared" si="14"/>
        <v>9.6425000000000001</v>
      </c>
      <c r="AP40" s="55">
        <f t="shared" si="15"/>
        <v>0.70357124728061549</v>
      </c>
      <c r="AQ40" s="55">
        <v>10.804</v>
      </c>
      <c r="AR40" s="55">
        <v>9.5540000000000003</v>
      </c>
      <c r="AS40" s="55">
        <f t="shared" si="16"/>
        <v>10.179</v>
      </c>
      <c r="AT40" s="55">
        <f t="shared" si="17"/>
        <v>0.88388347648318444</v>
      </c>
      <c r="AU40" s="55">
        <v>13.989000000000001</v>
      </c>
      <c r="AV40" s="55">
        <v>13.49</v>
      </c>
      <c r="AW40" s="55">
        <f t="shared" si="18"/>
        <v>13.7395</v>
      </c>
      <c r="AX40" s="55">
        <f t="shared" si="19"/>
        <v>0.3528462838120876</v>
      </c>
      <c r="AY40" s="55">
        <v>55.536000000000001</v>
      </c>
      <c r="AZ40" s="55">
        <v>50.148000000000003</v>
      </c>
      <c r="BA40" s="55">
        <f t="shared" si="20"/>
        <v>52.841999999999999</v>
      </c>
      <c r="BB40" s="55">
        <f t="shared" si="21"/>
        <v>3.8098913370331164</v>
      </c>
      <c r="BC40" s="55">
        <v>72.847999999999999</v>
      </c>
      <c r="BD40" s="55">
        <v>68.421999999999997</v>
      </c>
      <c r="BE40" s="55">
        <f t="shared" si="22"/>
        <v>70.634999999999991</v>
      </c>
      <c r="BF40" s="55">
        <f t="shared" si="23"/>
        <v>3.129654613531661</v>
      </c>
      <c r="BG40" s="2">
        <v>25.3</v>
      </c>
      <c r="BH40" s="2">
        <v>24.8</v>
      </c>
      <c r="BI40" s="2">
        <v>25.3</v>
      </c>
      <c r="BJ40" s="37">
        <f t="shared" ref="BJ40:BJ49" si="43">AVERAGE(BG40:BI40)</f>
        <v>25.133333333333336</v>
      </c>
      <c r="BK40" s="2">
        <f t="shared" ref="BK40:BK49" si="44">_xlfn.STDEV.S(BG40:BI40)</f>
        <v>0.28867513459481287</v>
      </c>
      <c r="BL40" s="8">
        <v>0.56999999999999995</v>
      </c>
      <c r="BM40" s="8">
        <v>0.56999999999999995</v>
      </c>
      <c r="BN40" s="8">
        <v>0.56000000000000005</v>
      </c>
      <c r="BO40" s="8">
        <f t="shared" ref="BO40:BO49" si="45">AVERAGE(BL40:BN40)</f>
        <v>0.56666666666666665</v>
      </c>
      <c r="BP40" s="9">
        <f t="shared" ref="BP40:BP49" si="46">_xlfn.STDEV.S(BL40:BN40)</f>
        <v>5.773502691896199E-3</v>
      </c>
      <c r="BQ40" s="10">
        <v>30</v>
      </c>
      <c r="BR40" s="10">
        <v>33</v>
      </c>
      <c r="BS40" s="10">
        <v>5</v>
      </c>
      <c r="BT40" s="10">
        <v>2</v>
      </c>
      <c r="BU40" s="10">
        <f t="shared" si="28"/>
        <v>40</v>
      </c>
      <c r="BV40" s="10">
        <v>10.39</v>
      </c>
      <c r="BW40" s="10">
        <v>3.48</v>
      </c>
      <c r="BX40" s="10">
        <v>8.3800000000000008</v>
      </c>
      <c r="BY40" s="38">
        <v>45996</v>
      </c>
      <c r="BZ40" s="3" t="s">
        <v>84</v>
      </c>
      <c r="CA40" s="16"/>
    </row>
    <row r="41" spans="2:79" ht="14.25" x14ac:dyDescent="0.2">
      <c r="B41" s="3">
        <v>-1</v>
      </c>
      <c r="C41" s="3">
        <v>-1</v>
      </c>
      <c r="D41" s="4">
        <v>35</v>
      </c>
      <c r="E41" s="3">
        <v>200</v>
      </c>
      <c r="F41" s="3">
        <v>150</v>
      </c>
      <c r="G41" s="3">
        <v>0.15</v>
      </c>
      <c r="H41" s="3">
        <v>75</v>
      </c>
      <c r="I41" s="3" t="s">
        <v>85</v>
      </c>
      <c r="J41" s="3">
        <v>30</v>
      </c>
      <c r="K41" s="2">
        <v>69.83</v>
      </c>
      <c r="L41" s="2">
        <v>69.849999999999994</v>
      </c>
      <c r="M41" s="2">
        <v>69.8</v>
      </c>
      <c r="N41" s="54">
        <f t="shared" si="41"/>
        <v>69.826666666666668</v>
      </c>
      <c r="O41" s="54">
        <f t="shared" si="42"/>
        <v>2.516611478423459E-2</v>
      </c>
      <c r="P41" s="54">
        <f t="shared" si="6"/>
        <v>0.17333333333333201</v>
      </c>
      <c r="Q41" s="3">
        <v>49.74</v>
      </c>
      <c r="R41" s="3">
        <v>49.78</v>
      </c>
      <c r="S41" s="3">
        <v>49.77</v>
      </c>
      <c r="T41" s="55">
        <f t="shared" si="29"/>
        <v>49.763333333333343</v>
      </c>
      <c r="U41" s="55">
        <f t="shared" si="30"/>
        <v>2.0816659994661171E-2</v>
      </c>
      <c r="V41" s="55">
        <f t="shared" si="7"/>
        <v>0.23666666666665748</v>
      </c>
      <c r="W41" s="3">
        <v>5.0199999999999996</v>
      </c>
      <c r="X41" s="3">
        <v>5.0199999999999996</v>
      </c>
      <c r="Y41" s="3">
        <v>5.03</v>
      </c>
      <c r="Z41" s="55">
        <f t="shared" si="31"/>
        <v>5.0233333333333334</v>
      </c>
      <c r="AA41" s="55">
        <f t="shared" si="32"/>
        <v>5.7735026918966474E-3</v>
      </c>
      <c r="AB41" s="55">
        <f t="shared" si="8"/>
        <v>2.3333333333333428E-2</v>
      </c>
      <c r="AC41" s="51">
        <v>69.6477</v>
      </c>
      <c r="AD41" s="51">
        <f t="shared" si="9"/>
        <v>0.35229999999999961</v>
      </c>
      <c r="AE41" s="51">
        <v>49.202500000000001</v>
      </c>
      <c r="AF41" s="51">
        <f t="shared" si="10"/>
        <v>0.79749999999999943</v>
      </c>
      <c r="AG41" s="51">
        <v>6.1730999999999998</v>
      </c>
      <c r="AH41" s="51">
        <f t="shared" si="11"/>
        <v>1.1730999999999998</v>
      </c>
      <c r="AI41" s="55">
        <v>7.7060000000000004</v>
      </c>
      <c r="AJ41" s="55">
        <v>6.3109999999999999</v>
      </c>
      <c r="AK41" s="55">
        <f t="shared" si="12"/>
        <v>7.0084999999999997</v>
      </c>
      <c r="AL41" s="55">
        <f t="shared" si="13"/>
        <v>0.98641395975523416</v>
      </c>
      <c r="AM41" s="55">
        <v>9.3320000000000007</v>
      </c>
      <c r="AN41" s="55">
        <v>9.6649999999999991</v>
      </c>
      <c r="AO41" s="55">
        <f t="shared" si="14"/>
        <v>9.4984999999999999</v>
      </c>
      <c r="AP41" s="55">
        <f t="shared" si="15"/>
        <v>0.23546655813511921</v>
      </c>
      <c r="AQ41" s="55">
        <v>12.446</v>
      </c>
      <c r="AR41" s="55">
        <v>10.538</v>
      </c>
      <c r="AS41" s="55">
        <f t="shared" si="16"/>
        <v>11.492000000000001</v>
      </c>
      <c r="AT41" s="55">
        <f t="shared" si="17"/>
        <v>1.3491597385039322</v>
      </c>
      <c r="AU41" s="55">
        <v>12.691000000000001</v>
      </c>
      <c r="AV41" s="55">
        <v>14.090999999999999</v>
      </c>
      <c r="AW41" s="55">
        <f t="shared" si="18"/>
        <v>13.391</v>
      </c>
      <c r="AX41" s="55">
        <f t="shared" si="19"/>
        <v>0.98994949366116547</v>
      </c>
      <c r="AY41" s="55">
        <v>59.924999999999997</v>
      </c>
      <c r="AZ41" s="55">
        <v>57.557000000000002</v>
      </c>
      <c r="BA41" s="55">
        <f t="shared" si="20"/>
        <v>58.741</v>
      </c>
      <c r="BB41" s="55">
        <f t="shared" si="21"/>
        <v>1.674428857849741</v>
      </c>
      <c r="BC41" s="55">
        <v>66.706999999999994</v>
      </c>
      <c r="BD41" s="55">
        <v>71.83</v>
      </c>
      <c r="BE41" s="55">
        <f t="shared" si="22"/>
        <v>69.268499999999989</v>
      </c>
      <c r="BF41" s="55">
        <f t="shared" si="23"/>
        <v>3.6225080400186864</v>
      </c>
      <c r="BG41" s="2">
        <v>25.1</v>
      </c>
      <c r="BH41" s="2">
        <v>25.8</v>
      </c>
      <c r="BI41" s="2">
        <v>25</v>
      </c>
      <c r="BJ41" s="37">
        <f t="shared" si="43"/>
        <v>25.3</v>
      </c>
      <c r="BK41" s="2">
        <f t="shared" si="44"/>
        <v>0.43588989435406744</v>
      </c>
      <c r="BL41" s="8">
        <v>0.56000000000000005</v>
      </c>
      <c r="BM41" s="8">
        <v>0.54</v>
      </c>
      <c r="BN41" s="8">
        <v>0.55000000000000004</v>
      </c>
      <c r="BO41" s="8">
        <f t="shared" si="45"/>
        <v>0.55000000000000004</v>
      </c>
      <c r="BP41" s="9">
        <f t="shared" si="46"/>
        <v>1.0000000000000009E-2</v>
      </c>
      <c r="BQ41" s="10">
        <v>35</v>
      </c>
      <c r="BR41" s="10">
        <v>38</v>
      </c>
      <c r="BS41" s="10">
        <v>5</v>
      </c>
      <c r="BT41" s="10">
        <v>2</v>
      </c>
      <c r="BU41" s="10">
        <f t="shared" si="28"/>
        <v>45</v>
      </c>
      <c r="BV41" s="10">
        <v>11.82</v>
      </c>
      <c r="BW41" s="10">
        <v>3.96</v>
      </c>
      <c r="BX41" s="10">
        <v>9.5299999999999994</v>
      </c>
      <c r="BY41" s="38">
        <v>45996</v>
      </c>
      <c r="BZ41" s="3" t="s">
        <v>84</v>
      </c>
      <c r="CA41" s="16"/>
    </row>
    <row r="42" spans="2:79" ht="14.25" x14ac:dyDescent="0.2">
      <c r="B42" s="3">
        <v>0</v>
      </c>
      <c r="C42" s="3">
        <v>0</v>
      </c>
      <c r="D42" s="4">
        <v>36</v>
      </c>
      <c r="E42" s="3">
        <v>200</v>
      </c>
      <c r="F42" s="3">
        <v>150</v>
      </c>
      <c r="G42" s="3">
        <v>0.15</v>
      </c>
      <c r="H42" s="3">
        <v>75</v>
      </c>
      <c r="I42" s="3" t="s">
        <v>85</v>
      </c>
      <c r="J42" s="3">
        <v>20</v>
      </c>
      <c r="K42" s="2">
        <v>69.84</v>
      </c>
      <c r="L42" s="2">
        <v>69.819999999999993</v>
      </c>
      <c r="M42" s="2">
        <v>69.849999999999994</v>
      </c>
      <c r="N42" s="54">
        <f t="shared" si="41"/>
        <v>69.836666666666659</v>
      </c>
      <c r="O42" s="54">
        <f t="shared" si="42"/>
        <v>1.5275252316521078E-2</v>
      </c>
      <c r="P42" s="54">
        <f t="shared" si="6"/>
        <v>0.1633333333333411</v>
      </c>
      <c r="Q42" s="3">
        <v>49.77</v>
      </c>
      <c r="R42" s="3">
        <v>49.75</v>
      </c>
      <c r="S42" s="3">
        <v>49.76</v>
      </c>
      <c r="T42" s="55">
        <f t="shared" si="29"/>
        <v>49.76</v>
      </c>
      <c r="U42" s="55">
        <f t="shared" si="30"/>
        <v>1.0000000000001563E-2</v>
      </c>
      <c r="V42" s="55">
        <f t="shared" si="7"/>
        <v>0.24000000000000199</v>
      </c>
      <c r="W42" s="3">
        <v>5.01</v>
      </c>
      <c r="X42" s="3">
        <v>4.99</v>
      </c>
      <c r="Y42" s="3">
        <v>5</v>
      </c>
      <c r="Z42" s="55">
        <f t="shared" si="31"/>
        <v>5</v>
      </c>
      <c r="AA42" s="55">
        <f t="shared" si="32"/>
        <v>9.9999999999997868E-3</v>
      </c>
      <c r="AB42" s="55">
        <f t="shared" si="8"/>
        <v>0</v>
      </c>
      <c r="AC42" s="51">
        <v>69.663700000000006</v>
      </c>
      <c r="AD42" s="51">
        <f t="shared" si="9"/>
        <v>0.33629999999999427</v>
      </c>
      <c r="AE42" s="51">
        <v>49.471899999999998</v>
      </c>
      <c r="AF42" s="51">
        <f t="shared" si="10"/>
        <v>0.52810000000000201</v>
      </c>
      <c r="AG42" s="51">
        <v>4.8608000000000002</v>
      </c>
      <c r="AH42" s="51">
        <f t="shared" si="11"/>
        <v>0.13919999999999977</v>
      </c>
      <c r="AI42" s="55">
        <v>5.9450000000000003</v>
      </c>
      <c r="AJ42" s="55">
        <v>5.4470000000000001</v>
      </c>
      <c r="AK42" s="55">
        <f t="shared" si="12"/>
        <v>5.6959999999999997</v>
      </c>
      <c r="AL42" s="55">
        <f t="shared" si="13"/>
        <v>0.35213917703090081</v>
      </c>
      <c r="AM42" s="55">
        <v>8.9610000000000003</v>
      </c>
      <c r="AN42" s="55">
        <v>7.7690000000000001</v>
      </c>
      <c r="AO42" s="55">
        <f t="shared" si="14"/>
        <v>8.3650000000000002</v>
      </c>
      <c r="AP42" s="55">
        <f t="shared" si="15"/>
        <v>0.84287128317436477</v>
      </c>
      <c r="AQ42" s="55">
        <v>9.26</v>
      </c>
      <c r="AR42" s="55">
        <v>8.2970000000000006</v>
      </c>
      <c r="AS42" s="55">
        <f t="shared" si="16"/>
        <v>8.7785000000000011</v>
      </c>
      <c r="AT42" s="55">
        <f t="shared" si="17"/>
        <v>0.68094383028264471</v>
      </c>
      <c r="AU42" s="55">
        <v>13.025</v>
      </c>
      <c r="AV42" s="55">
        <v>12.132999999999999</v>
      </c>
      <c r="AW42" s="55">
        <f t="shared" si="18"/>
        <v>12.579000000000001</v>
      </c>
      <c r="AX42" s="55">
        <f t="shared" si="19"/>
        <v>0.63073924881840127</v>
      </c>
      <c r="AY42" s="55">
        <v>48.329000000000001</v>
      </c>
      <c r="AZ42" s="55">
        <v>39.511000000000003</v>
      </c>
      <c r="BA42" s="55">
        <f t="shared" si="20"/>
        <v>43.92</v>
      </c>
      <c r="BB42" s="55">
        <f t="shared" si="21"/>
        <v>6.2352675965029745</v>
      </c>
      <c r="BC42" s="55">
        <v>69.356999999999999</v>
      </c>
      <c r="BD42" s="55">
        <v>69.182000000000002</v>
      </c>
      <c r="BE42" s="55">
        <f t="shared" si="22"/>
        <v>69.269499999999994</v>
      </c>
      <c r="BF42" s="55">
        <f t="shared" si="23"/>
        <v>0.12374368670764381</v>
      </c>
      <c r="BG42" s="2">
        <v>24.9</v>
      </c>
      <c r="BH42" s="2">
        <v>26.6</v>
      </c>
      <c r="BI42" s="2">
        <v>25.6</v>
      </c>
      <c r="BJ42" s="37">
        <f t="shared" si="43"/>
        <v>25.7</v>
      </c>
      <c r="BK42" s="2">
        <f t="shared" si="44"/>
        <v>0.85440037453175444</v>
      </c>
      <c r="BL42" s="8">
        <v>0.55000000000000004</v>
      </c>
      <c r="BM42" s="8">
        <v>0.53</v>
      </c>
      <c r="BN42" s="8">
        <v>0.54</v>
      </c>
      <c r="BO42" s="8">
        <f t="shared" si="45"/>
        <v>0.54</v>
      </c>
      <c r="BP42" s="9">
        <f t="shared" si="46"/>
        <v>1.0000000000000009E-2</v>
      </c>
      <c r="BQ42" s="10">
        <v>30</v>
      </c>
      <c r="BR42" s="10">
        <v>33</v>
      </c>
      <c r="BS42" s="10">
        <v>5</v>
      </c>
      <c r="BT42" s="10">
        <v>2</v>
      </c>
      <c r="BU42" s="10">
        <f t="shared" si="28"/>
        <v>40</v>
      </c>
      <c r="BV42" s="10">
        <v>10.39</v>
      </c>
      <c r="BW42" s="10">
        <v>3.48</v>
      </c>
      <c r="BX42" s="10">
        <v>8.3800000000000008</v>
      </c>
      <c r="BY42" s="38">
        <v>45996</v>
      </c>
      <c r="BZ42" s="3" t="s">
        <v>84</v>
      </c>
      <c r="CA42" s="16"/>
    </row>
    <row r="43" spans="2:79" ht="14.25" x14ac:dyDescent="0.2">
      <c r="B43" s="3">
        <v>-1</v>
      </c>
      <c r="C43" s="3">
        <v>-1</v>
      </c>
      <c r="D43" s="4">
        <v>37</v>
      </c>
      <c r="E43" s="3">
        <v>200</v>
      </c>
      <c r="F43" s="3">
        <v>150</v>
      </c>
      <c r="G43" s="3">
        <v>0.15</v>
      </c>
      <c r="H43" s="3">
        <v>30</v>
      </c>
      <c r="I43" s="3" t="s">
        <v>85</v>
      </c>
      <c r="J43" s="3">
        <v>20</v>
      </c>
      <c r="K43" s="2">
        <v>69.8</v>
      </c>
      <c r="L43" s="2">
        <v>69.8</v>
      </c>
      <c r="M43" s="2">
        <v>69.790000000000006</v>
      </c>
      <c r="N43" s="54">
        <f t="shared" si="41"/>
        <v>69.796666666666667</v>
      </c>
      <c r="O43" s="54">
        <f t="shared" si="42"/>
        <v>5.773502691891007E-3</v>
      </c>
      <c r="P43" s="54">
        <f t="shared" si="6"/>
        <v>0.20333333333333314</v>
      </c>
      <c r="Q43" s="3">
        <v>49.74</v>
      </c>
      <c r="R43" s="3">
        <v>49.76</v>
      </c>
      <c r="S43" s="3">
        <v>49.73</v>
      </c>
      <c r="T43" s="55">
        <f t="shared" si="29"/>
        <v>49.743333333333332</v>
      </c>
      <c r="U43" s="55">
        <f t="shared" si="30"/>
        <v>1.5275252316519527E-2</v>
      </c>
      <c r="V43" s="55">
        <f t="shared" si="7"/>
        <v>0.25666666666666771</v>
      </c>
      <c r="W43" s="3">
        <v>5</v>
      </c>
      <c r="X43" s="3">
        <v>4.9800000000000004</v>
      </c>
      <c r="Y43" s="3">
        <v>4.99</v>
      </c>
      <c r="Z43" s="55">
        <f t="shared" si="31"/>
        <v>4.99</v>
      </c>
      <c r="AA43" s="55">
        <f t="shared" si="32"/>
        <v>9.9999999999997868E-3</v>
      </c>
      <c r="AB43" s="55">
        <f t="shared" si="8"/>
        <v>9.9999999999997868E-3</v>
      </c>
      <c r="AC43" s="51">
        <v>69.663899999999998</v>
      </c>
      <c r="AD43" s="51">
        <f t="shared" si="9"/>
        <v>0.33610000000000184</v>
      </c>
      <c r="AE43" s="51">
        <v>49.402500000000003</v>
      </c>
      <c r="AF43" s="51">
        <f t="shared" si="10"/>
        <v>0.59749999999999659</v>
      </c>
      <c r="AG43" s="51">
        <v>5.5902000000000003</v>
      </c>
      <c r="AH43" s="51">
        <f t="shared" si="11"/>
        <v>0.59020000000000028</v>
      </c>
      <c r="AI43" s="55">
        <v>6.6139999999999999</v>
      </c>
      <c r="AJ43" s="55">
        <v>4.3559999999999999</v>
      </c>
      <c r="AK43" s="55">
        <f t="shared" si="12"/>
        <v>5.4849999999999994</v>
      </c>
      <c r="AL43" s="55">
        <f t="shared" si="13"/>
        <v>1.5966471119192283</v>
      </c>
      <c r="AM43" s="55">
        <v>5.1950000000000003</v>
      </c>
      <c r="AN43" s="55">
        <v>5.5250000000000004</v>
      </c>
      <c r="AO43" s="55">
        <f t="shared" si="14"/>
        <v>5.36</v>
      </c>
      <c r="AP43" s="55">
        <f t="shared" si="15"/>
        <v>0.23334523779156074</v>
      </c>
      <c r="AQ43" s="55">
        <v>10.082000000000001</v>
      </c>
      <c r="AR43" s="55">
        <v>7.41</v>
      </c>
      <c r="AS43" s="55">
        <f t="shared" si="16"/>
        <v>8.7460000000000004</v>
      </c>
      <c r="AT43" s="55">
        <f t="shared" si="17"/>
        <v>1.8893893193304567</v>
      </c>
      <c r="AU43" s="55">
        <v>7.5709999999999997</v>
      </c>
      <c r="AV43" s="55">
        <v>8.6999999999999993</v>
      </c>
      <c r="AW43" s="55">
        <f t="shared" si="18"/>
        <v>8.1355000000000004</v>
      </c>
      <c r="AX43" s="55">
        <f t="shared" si="19"/>
        <v>0.7983235559596118</v>
      </c>
      <c r="AY43" s="55">
        <v>45.597000000000001</v>
      </c>
      <c r="AZ43" s="55">
        <v>38.499000000000002</v>
      </c>
      <c r="BA43" s="55">
        <f t="shared" si="20"/>
        <v>42.048000000000002</v>
      </c>
      <c r="BB43" s="55">
        <f t="shared" si="21"/>
        <v>5.0190439328621137</v>
      </c>
      <c r="BC43" s="55">
        <v>45.345999999999997</v>
      </c>
      <c r="BD43" s="55">
        <v>48.51</v>
      </c>
      <c r="BE43" s="55">
        <f t="shared" si="22"/>
        <v>46.927999999999997</v>
      </c>
      <c r="BF43" s="55">
        <f t="shared" si="23"/>
        <v>2.2372858556742377</v>
      </c>
      <c r="BG43" s="2">
        <v>20.8</v>
      </c>
      <c r="BH43" s="2">
        <v>25.3</v>
      </c>
      <c r="BI43" s="2">
        <v>25.3</v>
      </c>
      <c r="BJ43" s="37">
        <f t="shared" si="43"/>
        <v>23.8</v>
      </c>
      <c r="BK43" s="2">
        <f t="shared" si="44"/>
        <v>2.598076211353316</v>
      </c>
      <c r="BL43" s="8">
        <v>0.76</v>
      </c>
      <c r="BM43" s="8">
        <v>0.56000000000000005</v>
      </c>
      <c r="BN43" s="8">
        <v>0.59</v>
      </c>
      <c r="BO43" s="8">
        <f t="shared" si="45"/>
        <v>0.63666666666666671</v>
      </c>
      <c r="BP43" s="9">
        <f t="shared" si="46"/>
        <v>0.10785793124908929</v>
      </c>
      <c r="BQ43" s="10">
        <v>69</v>
      </c>
      <c r="BR43" s="10">
        <v>73</v>
      </c>
      <c r="BS43" s="10">
        <v>5</v>
      </c>
      <c r="BT43" s="10">
        <v>2</v>
      </c>
      <c r="BU43" s="10">
        <f t="shared" si="28"/>
        <v>80</v>
      </c>
      <c r="BV43" s="10">
        <v>10.39</v>
      </c>
      <c r="BW43" s="10">
        <v>3.48</v>
      </c>
      <c r="BX43" s="10">
        <v>8.3800000000000008</v>
      </c>
      <c r="BY43" s="38">
        <v>45996</v>
      </c>
      <c r="BZ43" s="3" t="s">
        <v>84</v>
      </c>
      <c r="CA43" s="16"/>
    </row>
    <row r="44" spans="2:79" ht="14.25" x14ac:dyDescent="0.2">
      <c r="B44" s="3">
        <v>1</v>
      </c>
      <c r="C44" s="3">
        <v>1</v>
      </c>
      <c r="D44" s="63">
        <v>38</v>
      </c>
      <c r="E44" s="3">
        <v>190</v>
      </c>
      <c r="F44" s="3">
        <v>200</v>
      </c>
      <c r="G44" s="3">
        <v>0.2</v>
      </c>
      <c r="H44" s="3">
        <v>120</v>
      </c>
      <c r="I44" s="3" t="s">
        <v>86</v>
      </c>
      <c r="J44" s="3">
        <v>10</v>
      </c>
      <c r="K44" s="2">
        <v>69.709999999999994</v>
      </c>
      <c r="L44" s="2">
        <v>69.680000000000007</v>
      </c>
      <c r="M44" s="2">
        <v>69.7</v>
      </c>
      <c r="N44" s="54">
        <f t="shared" si="41"/>
        <v>69.696666666666658</v>
      </c>
      <c r="O44" s="54">
        <f t="shared" si="42"/>
        <v>1.5275252316513326E-2</v>
      </c>
      <c r="P44" s="54">
        <f t="shared" si="6"/>
        <v>0.30333333333334167</v>
      </c>
      <c r="Q44" s="3">
        <v>49.7</v>
      </c>
      <c r="R44" s="3">
        <v>49.66</v>
      </c>
      <c r="S44" s="3">
        <v>49.67</v>
      </c>
      <c r="T44" s="55">
        <f t="shared" si="29"/>
        <v>49.676666666666669</v>
      </c>
      <c r="U44" s="55">
        <f t="shared" si="30"/>
        <v>2.0816659994664012E-2</v>
      </c>
      <c r="V44" s="55">
        <f t="shared" si="7"/>
        <v>0.32333333333333059</v>
      </c>
      <c r="W44" s="3">
        <v>5</v>
      </c>
      <c r="X44" s="3">
        <v>5.0199999999999996</v>
      </c>
      <c r="Y44" s="3">
        <v>5</v>
      </c>
      <c r="Z44" s="55">
        <f t="shared" si="31"/>
        <v>5.0066666666666668</v>
      </c>
      <c r="AA44" s="55">
        <f t="shared" si="32"/>
        <v>1.154700538379227E-2</v>
      </c>
      <c r="AB44" s="55">
        <f t="shared" si="8"/>
        <v>6.6666666666668206E-3</v>
      </c>
      <c r="AC44" s="51">
        <v>69.534400000000005</v>
      </c>
      <c r="AD44" s="51">
        <f t="shared" si="9"/>
        <v>0.46559999999999491</v>
      </c>
      <c r="AE44" s="51">
        <v>49.323099999999997</v>
      </c>
      <c r="AF44" s="51">
        <f t="shared" si="10"/>
        <v>0.67690000000000339</v>
      </c>
      <c r="AG44" s="51">
        <v>5.3606999999999996</v>
      </c>
      <c r="AH44" s="51">
        <f t="shared" si="11"/>
        <v>0.36069999999999958</v>
      </c>
      <c r="AI44" s="64" t="s">
        <v>90</v>
      </c>
      <c r="AJ44" s="55">
        <v>6.0359999999999996</v>
      </c>
      <c r="AK44" s="64">
        <f t="shared" si="12"/>
        <v>6.0359999999999996</v>
      </c>
      <c r="AL44" s="64" t="e">
        <f t="shared" si="13"/>
        <v>#DIV/0!</v>
      </c>
      <c r="AM44" s="55">
        <v>6.8319999999999999</v>
      </c>
      <c r="AN44" s="55">
        <v>7.94</v>
      </c>
      <c r="AO44" s="55">
        <f t="shared" si="14"/>
        <v>7.3860000000000001</v>
      </c>
      <c r="AP44" s="55">
        <f t="shared" si="15"/>
        <v>0.78347431355469499</v>
      </c>
      <c r="AQ44" s="64" t="s">
        <v>90</v>
      </c>
      <c r="AR44" s="55">
        <v>7.359</v>
      </c>
      <c r="AS44" s="64">
        <f t="shared" si="16"/>
        <v>7.359</v>
      </c>
      <c r="AT44" s="64" t="e">
        <f t="shared" si="17"/>
        <v>#DIV/0!</v>
      </c>
      <c r="AU44" s="55">
        <v>7.9530000000000003</v>
      </c>
      <c r="AV44" s="55">
        <v>9.8539999999999992</v>
      </c>
      <c r="AW44" s="55">
        <f t="shared" si="18"/>
        <v>8.9034999999999993</v>
      </c>
      <c r="AX44" s="55">
        <f t="shared" si="19"/>
        <v>1.3442099910356313</v>
      </c>
      <c r="AY44" s="64" t="s">
        <v>90</v>
      </c>
      <c r="AZ44" s="55">
        <v>28.311</v>
      </c>
      <c r="BA44" s="64">
        <f t="shared" si="20"/>
        <v>28.311</v>
      </c>
      <c r="BB44" s="64" t="e">
        <f t="shared" si="21"/>
        <v>#DIV/0!</v>
      </c>
      <c r="BC44" s="55">
        <v>31.751999999999999</v>
      </c>
      <c r="BD44" s="55">
        <v>40.494999999999997</v>
      </c>
      <c r="BE44" s="55">
        <f t="shared" si="22"/>
        <v>36.1235</v>
      </c>
      <c r="BF44" s="55">
        <f t="shared" si="23"/>
        <v>6.1822345879139409</v>
      </c>
      <c r="BG44" s="2">
        <v>25</v>
      </c>
      <c r="BH44" s="2">
        <v>25.7</v>
      </c>
      <c r="BI44" s="2">
        <v>25.5</v>
      </c>
      <c r="BJ44" s="37">
        <f t="shared" si="43"/>
        <v>25.400000000000002</v>
      </c>
      <c r="BK44" s="2">
        <f t="shared" si="44"/>
        <v>0.36055512754639862</v>
      </c>
      <c r="BL44" s="8">
        <v>0.61</v>
      </c>
      <c r="BM44" s="8">
        <v>0.62</v>
      </c>
      <c r="BN44" s="8">
        <v>0.61</v>
      </c>
      <c r="BO44" s="8">
        <f t="shared" si="45"/>
        <v>0.61333333333333329</v>
      </c>
      <c r="BP44" s="9">
        <f t="shared" si="46"/>
        <v>5.7735026918962623E-3</v>
      </c>
      <c r="BQ44" s="10">
        <v>17</v>
      </c>
      <c r="BR44" s="10">
        <v>21</v>
      </c>
      <c r="BS44" s="10">
        <v>5</v>
      </c>
      <c r="BT44" s="10">
        <v>2</v>
      </c>
      <c r="BU44" s="10">
        <f t="shared" si="28"/>
        <v>28</v>
      </c>
      <c r="BV44" s="10">
        <v>10.36</v>
      </c>
      <c r="BW44" s="10">
        <v>3.47</v>
      </c>
      <c r="BX44" s="10">
        <v>8.35</v>
      </c>
      <c r="BY44" s="38">
        <v>45996</v>
      </c>
      <c r="BZ44" s="3" t="s">
        <v>84</v>
      </c>
      <c r="CA44" s="16"/>
    </row>
    <row r="45" spans="2:79" ht="14.25" x14ac:dyDescent="0.2">
      <c r="B45" s="3">
        <v>1</v>
      </c>
      <c r="C45" s="3">
        <v>1</v>
      </c>
      <c r="D45" s="4">
        <v>39</v>
      </c>
      <c r="E45" s="3">
        <v>190</v>
      </c>
      <c r="F45" s="3">
        <v>200</v>
      </c>
      <c r="G45" s="3">
        <v>0.2</v>
      </c>
      <c r="H45" s="3">
        <v>30</v>
      </c>
      <c r="I45" s="3" t="s">
        <v>83</v>
      </c>
      <c r="J45" s="3">
        <v>30</v>
      </c>
      <c r="K45" s="2">
        <v>69.75</v>
      </c>
      <c r="L45" s="2">
        <v>69.819999999999993</v>
      </c>
      <c r="M45" s="2">
        <v>69.83</v>
      </c>
      <c r="N45" s="54">
        <f t="shared" si="41"/>
        <v>69.8</v>
      </c>
      <c r="O45" s="54">
        <f t="shared" si="42"/>
        <v>4.3588989435404589E-2</v>
      </c>
      <c r="P45" s="54">
        <f t="shared" si="6"/>
        <v>0.20000000000000284</v>
      </c>
      <c r="Q45" s="3">
        <v>49.77</v>
      </c>
      <c r="R45" s="3">
        <v>49.74</v>
      </c>
      <c r="S45" s="3">
        <v>49.8</v>
      </c>
      <c r="T45" s="55">
        <f t="shared" si="29"/>
        <v>49.77</v>
      </c>
      <c r="U45" s="55">
        <f t="shared" si="30"/>
        <v>2.9999999999997584E-2</v>
      </c>
      <c r="V45" s="55">
        <f t="shared" si="7"/>
        <v>0.22999999999999687</v>
      </c>
      <c r="W45" s="3">
        <v>5.0199999999999996</v>
      </c>
      <c r="X45" s="3">
        <v>5.0199999999999996</v>
      </c>
      <c r="Y45" s="3">
        <v>5.04</v>
      </c>
      <c r="Z45" s="55">
        <f t="shared" si="31"/>
        <v>5.0266666666666664</v>
      </c>
      <c r="AA45" s="55">
        <f t="shared" si="32"/>
        <v>1.1547005383792781E-2</v>
      </c>
      <c r="AB45" s="55">
        <f t="shared" si="8"/>
        <v>2.6666666666666394E-2</v>
      </c>
      <c r="AC45" s="51">
        <v>69.695899999999995</v>
      </c>
      <c r="AD45" s="51">
        <f t="shared" si="9"/>
        <v>0.30410000000000537</v>
      </c>
      <c r="AE45" s="51">
        <v>49.185000000000002</v>
      </c>
      <c r="AF45" s="51">
        <f t="shared" si="10"/>
        <v>0.81499999999999773</v>
      </c>
      <c r="AG45" s="51">
        <v>6.5631000000000004</v>
      </c>
      <c r="AH45" s="51">
        <f t="shared" si="11"/>
        <v>1.5631000000000004</v>
      </c>
      <c r="AI45" s="55">
        <v>6.9290000000000003</v>
      </c>
      <c r="AJ45" s="55">
        <v>4.6379999999999999</v>
      </c>
      <c r="AK45" s="55">
        <f t="shared" si="12"/>
        <v>5.7835000000000001</v>
      </c>
      <c r="AL45" s="55">
        <f t="shared" si="13"/>
        <v>1.6199816356983812</v>
      </c>
      <c r="AM45" s="55">
        <v>6.8150000000000004</v>
      </c>
      <c r="AN45" s="55">
        <v>6.2480000000000002</v>
      </c>
      <c r="AO45" s="55">
        <f t="shared" si="14"/>
        <v>6.5315000000000003</v>
      </c>
      <c r="AP45" s="55">
        <f t="shared" si="15"/>
        <v>0.40092954493277255</v>
      </c>
      <c r="AQ45" s="55">
        <v>10.974</v>
      </c>
      <c r="AR45" s="55">
        <v>7.2439999999999998</v>
      </c>
      <c r="AS45" s="55">
        <f t="shared" si="16"/>
        <v>9.109</v>
      </c>
      <c r="AT45" s="55">
        <f t="shared" si="17"/>
        <v>2.6375082938258201</v>
      </c>
      <c r="AU45" s="55">
        <v>9.4309999999999992</v>
      </c>
      <c r="AV45" s="55">
        <v>8.7769999999999992</v>
      </c>
      <c r="AW45" s="55">
        <f t="shared" si="18"/>
        <v>9.1039999999999992</v>
      </c>
      <c r="AX45" s="55">
        <f t="shared" si="19"/>
        <v>0.462447834896002</v>
      </c>
      <c r="AY45" s="55">
        <v>49.265999999999998</v>
      </c>
      <c r="AZ45" s="55">
        <v>35.234000000000002</v>
      </c>
      <c r="BA45" s="55">
        <f t="shared" si="20"/>
        <v>42.25</v>
      </c>
      <c r="BB45" s="55">
        <f t="shared" si="21"/>
        <v>9.9221223536096321</v>
      </c>
      <c r="BC45" s="55">
        <v>50.582999999999998</v>
      </c>
      <c r="BD45" s="55">
        <v>47.718000000000004</v>
      </c>
      <c r="BE45" s="55">
        <f t="shared" si="22"/>
        <v>49.150500000000001</v>
      </c>
      <c r="BF45" s="55">
        <f t="shared" si="23"/>
        <v>2.0258609280994548</v>
      </c>
      <c r="BG45" s="2">
        <v>25.4</v>
      </c>
      <c r="BH45" s="2">
        <v>25.3</v>
      </c>
      <c r="BI45" s="2">
        <v>25.1</v>
      </c>
      <c r="BJ45" s="37">
        <f t="shared" si="43"/>
        <v>25.266666666666669</v>
      </c>
      <c r="BK45" s="2">
        <f t="shared" si="44"/>
        <v>0.15275252316519336</v>
      </c>
      <c r="BL45" s="8">
        <v>0.61</v>
      </c>
      <c r="BM45" s="8">
        <v>0.62</v>
      </c>
      <c r="BN45" s="8">
        <v>0.63</v>
      </c>
      <c r="BO45" s="8">
        <f t="shared" si="45"/>
        <v>0.62</v>
      </c>
      <c r="BP45" s="9">
        <f t="shared" si="46"/>
        <v>1.0000000000000009E-2</v>
      </c>
      <c r="BQ45" s="10">
        <v>68</v>
      </c>
      <c r="BR45" s="10">
        <v>71</v>
      </c>
      <c r="BS45" s="10">
        <v>5</v>
      </c>
      <c r="BT45" s="10">
        <v>2</v>
      </c>
      <c r="BU45" s="10">
        <f t="shared" si="28"/>
        <v>78</v>
      </c>
      <c r="BV45" s="10">
        <v>13.03</v>
      </c>
      <c r="BW45" s="10">
        <v>4.37</v>
      </c>
      <c r="BX45" s="10">
        <v>10.51</v>
      </c>
      <c r="BY45" s="38">
        <v>45996</v>
      </c>
      <c r="BZ45" s="3" t="s">
        <v>84</v>
      </c>
      <c r="CA45" s="16"/>
    </row>
    <row r="46" spans="2:79" ht="14.25" x14ac:dyDescent="0.2">
      <c r="B46" s="3">
        <v>1</v>
      </c>
      <c r="C46" s="3">
        <v>1</v>
      </c>
      <c r="D46" s="65">
        <v>40</v>
      </c>
      <c r="E46" s="3">
        <v>190</v>
      </c>
      <c r="F46" s="3">
        <v>200</v>
      </c>
      <c r="G46" s="3">
        <v>0.2</v>
      </c>
      <c r="H46" s="3">
        <v>30</v>
      </c>
      <c r="I46" s="3" t="s">
        <v>83</v>
      </c>
      <c r="J46" s="3">
        <v>10</v>
      </c>
      <c r="K46" s="2">
        <v>69.760000000000005</v>
      </c>
      <c r="L46" s="2">
        <v>69.760000000000005</v>
      </c>
      <c r="M46" s="2">
        <v>69.8</v>
      </c>
      <c r="N46" s="54">
        <f t="shared" si="41"/>
        <v>69.773333333333326</v>
      </c>
      <c r="O46" s="54">
        <f t="shared" si="42"/>
        <v>2.3094010767580435E-2</v>
      </c>
      <c r="P46" s="54">
        <f t="shared" si="6"/>
        <v>0.22666666666667368</v>
      </c>
      <c r="Q46" s="3">
        <v>49.76</v>
      </c>
      <c r="R46" s="3">
        <v>49.77</v>
      </c>
      <c r="S46" s="3">
        <v>49.8</v>
      </c>
      <c r="T46" s="55">
        <f t="shared" si="29"/>
        <v>49.776666666666664</v>
      </c>
      <c r="U46" s="55">
        <f t="shared" si="30"/>
        <v>2.0816659994660029E-2</v>
      </c>
      <c r="V46" s="55">
        <f t="shared" si="7"/>
        <v>0.22333333333333627</v>
      </c>
      <c r="W46" s="3">
        <v>4.99</v>
      </c>
      <c r="X46" s="3">
        <v>4.99</v>
      </c>
      <c r="Y46" s="3">
        <v>5</v>
      </c>
      <c r="Z46" s="55">
        <f t="shared" si="31"/>
        <v>4.9933333333333332</v>
      </c>
      <c r="AA46" s="55">
        <f t="shared" si="32"/>
        <v>5.7735026918961348E-3</v>
      </c>
      <c r="AB46" s="55">
        <f t="shared" si="8"/>
        <v>6.6666666666668206E-3</v>
      </c>
      <c r="AC46" s="51">
        <v>69.656999999999996</v>
      </c>
      <c r="AD46" s="51">
        <f t="shared" si="9"/>
        <v>0.34300000000000352</v>
      </c>
      <c r="AE46" s="51">
        <v>49.409300000000002</v>
      </c>
      <c r="AF46" s="51">
        <f t="shared" si="10"/>
        <v>0.59069999999999823</v>
      </c>
      <c r="AG46" s="51">
        <v>5.0023</v>
      </c>
      <c r="AH46" s="51">
        <f t="shared" si="11"/>
        <v>2.2999999999999687E-3</v>
      </c>
      <c r="AI46" s="66">
        <v>5.6139999999999999</v>
      </c>
      <c r="AJ46" s="66">
        <v>5.6139999999999999</v>
      </c>
      <c r="AK46" s="64">
        <f t="shared" si="12"/>
        <v>5.6139999999999999</v>
      </c>
      <c r="AL46" s="64">
        <f t="shared" si="13"/>
        <v>0</v>
      </c>
      <c r="AM46" s="55">
        <v>4.7969999999999997</v>
      </c>
      <c r="AN46" s="55">
        <v>4.7869999999999999</v>
      </c>
      <c r="AO46" s="55">
        <f t="shared" si="14"/>
        <v>4.7919999999999998</v>
      </c>
      <c r="AP46" s="55">
        <f t="shared" si="15"/>
        <v>7.0710678118653244E-3</v>
      </c>
      <c r="AQ46" s="66">
        <v>6.5709999999999997</v>
      </c>
      <c r="AR46" s="66">
        <v>6.5709999999999997</v>
      </c>
      <c r="AS46" s="64">
        <f t="shared" si="16"/>
        <v>6.5709999999999997</v>
      </c>
      <c r="AT46" s="64">
        <f t="shared" si="17"/>
        <v>0</v>
      </c>
      <c r="AU46" s="55">
        <v>5.9880000000000004</v>
      </c>
      <c r="AV46" s="55">
        <v>5.7370000000000001</v>
      </c>
      <c r="AW46" s="55">
        <f t="shared" si="18"/>
        <v>5.8625000000000007</v>
      </c>
      <c r="AX46" s="55">
        <f t="shared" si="19"/>
        <v>0.17748380207782366</v>
      </c>
      <c r="AY46" s="66">
        <v>23.658000000000001</v>
      </c>
      <c r="AZ46" s="66">
        <v>23.658000000000001</v>
      </c>
      <c r="BA46" s="64">
        <f t="shared" si="20"/>
        <v>23.658000000000001</v>
      </c>
      <c r="BB46" s="64">
        <f t="shared" si="21"/>
        <v>0</v>
      </c>
      <c r="BC46" s="55">
        <v>27.812000000000001</v>
      </c>
      <c r="BD46" s="55">
        <v>24.620999999999999</v>
      </c>
      <c r="BE46" s="55">
        <f t="shared" si="22"/>
        <v>26.2165</v>
      </c>
      <c r="BF46" s="55">
        <f t="shared" si="23"/>
        <v>2.2563777387662749</v>
      </c>
      <c r="BG46" s="2">
        <v>25.1</v>
      </c>
      <c r="BH46" s="2">
        <v>25.7</v>
      </c>
      <c r="BI46" s="2">
        <v>25.3</v>
      </c>
      <c r="BJ46" s="37">
        <f t="shared" si="43"/>
        <v>25.366666666666664</v>
      </c>
      <c r="BK46" s="2">
        <f t="shared" si="44"/>
        <v>0.30550504633038827</v>
      </c>
      <c r="BL46" s="8">
        <v>0.63</v>
      </c>
      <c r="BM46" s="8">
        <v>0.62</v>
      </c>
      <c r="BN46" s="8">
        <v>0.63</v>
      </c>
      <c r="BO46" s="8">
        <f t="shared" si="45"/>
        <v>0.62666666666666659</v>
      </c>
      <c r="BP46" s="9">
        <f t="shared" si="46"/>
        <v>5.7735026918962632E-3</v>
      </c>
      <c r="BQ46" s="10">
        <v>53</v>
      </c>
      <c r="BR46" s="10">
        <v>56</v>
      </c>
      <c r="BS46" s="10">
        <v>5</v>
      </c>
      <c r="BT46" s="10">
        <v>2</v>
      </c>
      <c r="BU46" s="10">
        <f t="shared" si="28"/>
        <v>63</v>
      </c>
      <c r="BV46" s="10">
        <v>10.36</v>
      </c>
      <c r="BW46" s="10">
        <v>3.47</v>
      </c>
      <c r="BX46" s="10">
        <v>8.35</v>
      </c>
      <c r="BY46" s="38">
        <v>45996</v>
      </c>
      <c r="BZ46" s="3" t="s">
        <v>84</v>
      </c>
      <c r="CA46" s="16"/>
    </row>
    <row r="47" spans="2:79" ht="14.25" x14ac:dyDescent="0.2">
      <c r="B47" s="3">
        <v>1</v>
      </c>
      <c r="C47" s="3">
        <v>1</v>
      </c>
      <c r="D47" s="4">
        <v>41</v>
      </c>
      <c r="E47" s="3">
        <v>190</v>
      </c>
      <c r="F47" s="3">
        <v>100</v>
      </c>
      <c r="G47" s="3">
        <v>0.1</v>
      </c>
      <c r="H47" s="3">
        <v>120</v>
      </c>
      <c r="I47" s="3" t="s">
        <v>86</v>
      </c>
      <c r="J47" s="3">
        <v>30</v>
      </c>
      <c r="K47" s="2">
        <v>69.959999999999994</v>
      </c>
      <c r="L47" s="2">
        <v>69.98</v>
      </c>
      <c r="M47" s="2">
        <v>69.97</v>
      </c>
      <c r="N47" s="54">
        <f t="shared" si="41"/>
        <v>69.97</v>
      </c>
      <c r="O47" s="54">
        <f t="shared" si="42"/>
        <v>1.0000000000005116E-2</v>
      </c>
      <c r="P47" s="54">
        <f t="shared" si="6"/>
        <v>3.0000000000001137E-2</v>
      </c>
      <c r="Q47" s="3">
        <v>49.96</v>
      </c>
      <c r="R47" s="3">
        <v>49.94</v>
      </c>
      <c r="S47" s="3">
        <v>49.95</v>
      </c>
      <c r="T47" s="55">
        <f t="shared" si="29"/>
        <v>49.95000000000001</v>
      </c>
      <c r="U47" s="55">
        <f t="shared" si="30"/>
        <v>1.0000000000001563E-2</v>
      </c>
      <c r="V47" s="55">
        <f t="shared" si="7"/>
        <v>4.9999999999990052E-2</v>
      </c>
      <c r="W47" s="3">
        <v>5.08</v>
      </c>
      <c r="X47" s="3">
        <v>5.09</v>
      </c>
      <c r="Y47" s="3">
        <v>5.07</v>
      </c>
      <c r="Z47" s="55">
        <f t="shared" si="31"/>
        <v>5.08</v>
      </c>
      <c r="AA47" s="55">
        <f t="shared" si="32"/>
        <v>9.9999999999997868E-3</v>
      </c>
      <c r="AB47" s="55">
        <f t="shared" si="8"/>
        <v>8.0000000000000071E-2</v>
      </c>
      <c r="AC47" s="51">
        <v>69.692700000000002</v>
      </c>
      <c r="AD47" s="51">
        <f t="shared" si="9"/>
        <v>0.30729999999999791</v>
      </c>
      <c r="AE47" s="51">
        <v>49.390700000000002</v>
      </c>
      <c r="AF47" s="51">
        <f t="shared" si="10"/>
        <v>0.60929999999999751</v>
      </c>
      <c r="AG47" s="51">
        <v>5.9105999999999996</v>
      </c>
      <c r="AH47" s="51">
        <f t="shared" si="11"/>
        <v>0.91059999999999963</v>
      </c>
      <c r="AI47" s="55">
        <v>3.1160000000000001</v>
      </c>
      <c r="AJ47" s="55">
        <v>2.153</v>
      </c>
      <c r="AK47" s="55">
        <f t="shared" si="12"/>
        <v>2.6345000000000001</v>
      </c>
      <c r="AL47" s="55">
        <f t="shared" si="13"/>
        <v>0.68094383028264616</v>
      </c>
      <c r="AM47" s="55">
        <v>3.2090000000000001</v>
      </c>
      <c r="AN47" s="55">
        <v>3.056</v>
      </c>
      <c r="AO47" s="55">
        <f t="shared" si="14"/>
        <v>3.1325000000000003</v>
      </c>
      <c r="AP47" s="55">
        <f t="shared" si="15"/>
        <v>0.10818733752154179</v>
      </c>
      <c r="AQ47" s="55">
        <v>4.3239999999999998</v>
      </c>
      <c r="AR47" s="55">
        <v>3.3639999999999999</v>
      </c>
      <c r="AS47" s="55">
        <f t="shared" si="16"/>
        <v>3.8439999999999999</v>
      </c>
      <c r="AT47" s="55">
        <f t="shared" si="17"/>
        <v>0.67882250993908755</v>
      </c>
      <c r="AU47" s="55">
        <v>4.0869999999999997</v>
      </c>
      <c r="AV47" s="55">
        <v>4.1890000000000001</v>
      </c>
      <c r="AW47" s="55">
        <f t="shared" si="18"/>
        <v>4.1379999999999999</v>
      </c>
      <c r="AX47" s="55">
        <f t="shared" si="19"/>
        <v>7.2124891681028064E-2</v>
      </c>
      <c r="AY47" s="55">
        <v>25.102</v>
      </c>
      <c r="AZ47" s="55">
        <v>21.952999999999999</v>
      </c>
      <c r="BA47" s="55">
        <f t="shared" si="20"/>
        <v>23.5275</v>
      </c>
      <c r="BB47" s="55">
        <f t="shared" si="21"/>
        <v>2.2266792539564388</v>
      </c>
      <c r="BC47" s="55">
        <v>23.795999999999999</v>
      </c>
      <c r="BD47" s="55">
        <v>28.283999999999999</v>
      </c>
      <c r="BE47" s="55">
        <f t="shared" si="22"/>
        <v>26.04</v>
      </c>
      <c r="BF47" s="55">
        <f t="shared" si="23"/>
        <v>3.1734952339652249</v>
      </c>
      <c r="BG47" s="2">
        <v>25.3</v>
      </c>
      <c r="BH47" s="2">
        <v>25.3</v>
      </c>
      <c r="BI47" s="2">
        <v>25.4</v>
      </c>
      <c r="BJ47" s="37">
        <f t="shared" si="43"/>
        <v>25.333333333333332</v>
      </c>
      <c r="BK47" s="2">
        <f t="shared" si="44"/>
        <v>5.7735026918961346E-2</v>
      </c>
      <c r="BL47" s="8">
        <v>0.64</v>
      </c>
      <c r="BM47" s="8">
        <v>0.63</v>
      </c>
      <c r="BN47" s="8">
        <v>0.64</v>
      </c>
      <c r="BO47" s="8">
        <f t="shared" si="45"/>
        <v>0.63666666666666671</v>
      </c>
      <c r="BP47" s="9">
        <f t="shared" si="46"/>
        <v>5.7735026918962623E-3</v>
      </c>
      <c r="BQ47" s="10">
        <v>34</v>
      </c>
      <c r="BR47" s="10">
        <v>38</v>
      </c>
      <c r="BS47" s="10">
        <v>5</v>
      </c>
      <c r="BT47" s="10">
        <v>2</v>
      </c>
      <c r="BU47" s="10">
        <f t="shared" si="28"/>
        <v>45</v>
      </c>
      <c r="BV47" s="10">
        <v>11.67</v>
      </c>
      <c r="BW47" s="10">
        <v>3.91</v>
      </c>
      <c r="BX47" s="10">
        <v>9.41</v>
      </c>
      <c r="BY47" s="38">
        <v>45996</v>
      </c>
      <c r="BZ47" s="3" t="s">
        <v>84</v>
      </c>
      <c r="CA47" s="16"/>
    </row>
    <row r="48" spans="2:79" ht="14.25" x14ac:dyDescent="0.2">
      <c r="B48" s="3">
        <v>1</v>
      </c>
      <c r="C48" s="3">
        <v>1</v>
      </c>
      <c r="D48" s="4">
        <v>42</v>
      </c>
      <c r="E48" s="3">
        <v>190</v>
      </c>
      <c r="F48" s="3">
        <v>100</v>
      </c>
      <c r="G48" s="3">
        <v>0.1</v>
      </c>
      <c r="H48" s="3">
        <v>30</v>
      </c>
      <c r="I48" s="3" t="s">
        <v>86</v>
      </c>
      <c r="J48" s="3">
        <v>30</v>
      </c>
      <c r="K48" s="2">
        <v>69.88</v>
      </c>
      <c r="L48" s="2">
        <v>69.88</v>
      </c>
      <c r="M48" s="2">
        <v>69.91</v>
      </c>
      <c r="N48" s="54">
        <f t="shared" si="41"/>
        <v>69.89</v>
      </c>
      <c r="O48" s="54">
        <f t="shared" si="42"/>
        <v>1.7320508075689429E-2</v>
      </c>
      <c r="P48" s="54">
        <f t="shared" si="6"/>
        <v>0.10999999999999943</v>
      </c>
      <c r="Q48" s="3">
        <v>49.83</v>
      </c>
      <c r="R48" s="3">
        <v>49.86</v>
      </c>
      <c r="S48" s="3">
        <v>49.85</v>
      </c>
      <c r="T48" s="55">
        <f t="shared" si="29"/>
        <v>49.846666666666664</v>
      </c>
      <c r="U48" s="55">
        <f t="shared" si="30"/>
        <v>1.5275252316520303E-2</v>
      </c>
      <c r="V48" s="55">
        <f t="shared" si="7"/>
        <v>0.15333333333333599</v>
      </c>
      <c r="W48" s="3">
        <v>5.09</v>
      </c>
      <c r="X48" s="3">
        <v>5.08</v>
      </c>
      <c r="Y48" s="3">
        <v>5.09</v>
      </c>
      <c r="Z48" s="55">
        <f t="shared" si="31"/>
        <v>5.0866666666666669</v>
      </c>
      <c r="AA48" s="55">
        <f t="shared" si="32"/>
        <v>5.7735026918961348E-3</v>
      </c>
      <c r="AB48" s="55">
        <f t="shared" si="8"/>
        <v>8.6666666666666892E-2</v>
      </c>
      <c r="AC48" s="51">
        <v>69.842600000000004</v>
      </c>
      <c r="AD48" s="51">
        <f t="shared" si="9"/>
        <v>0.15739999999999554</v>
      </c>
      <c r="AE48" s="51">
        <v>49.32</v>
      </c>
      <c r="AF48" s="51">
        <f t="shared" si="10"/>
        <v>0.67999999999999972</v>
      </c>
      <c r="AG48" s="51">
        <v>5.8956</v>
      </c>
      <c r="AH48" s="51">
        <f t="shared" si="11"/>
        <v>0.89559999999999995</v>
      </c>
      <c r="AI48" s="55">
        <v>7.9720000000000004</v>
      </c>
      <c r="AJ48" s="55">
        <v>7.0039999999999996</v>
      </c>
      <c r="AK48" s="55">
        <f t="shared" si="12"/>
        <v>7.4879999999999995</v>
      </c>
      <c r="AL48" s="55">
        <f t="shared" si="13"/>
        <v>0.68447936418857858</v>
      </c>
      <c r="AM48" s="55">
        <v>7.5670000000000002</v>
      </c>
      <c r="AN48" s="55">
        <v>7.1740000000000004</v>
      </c>
      <c r="AO48" s="55">
        <f t="shared" si="14"/>
        <v>7.3704999999999998</v>
      </c>
      <c r="AP48" s="55">
        <f t="shared" si="15"/>
        <v>0.27789296500631305</v>
      </c>
      <c r="AQ48" s="55">
        <v>11.433999999999999</v>
      </c>
      <c r="AR48" s="55">
        <v>11.013999999999999</v>
      </c>
      <c r="AS48" s="55">
        <f t="shared" si="16"/>
        <v>11.224</v>
      </c>
      <c r="AT48" s="55">
        <f t="shared" si="17"/>
        <v>0.29698484809834991</v>
      </c>
      <c r="AU48" s="55">
        <v>11.396000000000001</v>
      </c>
      <c r="AV48" s="55">
        <v>11.177</v>
      </c>
      <c r="AW48" s="55">
        <f t="shared" si="18"/>
        <v>11.2865</v>
      </c>
      <c r="AX48" s="55">
        <f t="shared" si="19"/>
        <v>0.15485638507985475</v>
      </c>
      <c r="AY48" s="55">
        <v>47.917999999999999</v>
      </c>
      <c r="AZ48" s="55">
        <v>49.597999999999999</v>
      </c>
      <c r="BA48" s="55">
        <f t="shared" si="20"/>
        <v>48.757999999999996</v>
      </c>
      <c r="BB48" s="55">
        <f t="shared" si="21"/>
        <v>1.1879393923933996</v>
      </c>
      <c r="BC48" s="55">
        <v>58.365000000000002</v>
      </c>
      <c r="BD48" s="55">
        <v>56.186999999999998</v>
      </c>
      <c r="BE48" s="55">
        <f t="shared" si="22"/>
        <v>57.275999999999996</v>
      </c>
      <c r="BF48" s="55">
        <f t="shared" si="23"/>
        <v>1.5400785694243038</v>
      </c>
      <c r="BG48" s="2">
        <v>24.4</v>
      </c>
      <c r="BH48" s="2">
        <v>25.5</v>
      </c>
      <c r="BI48" s="2">
        <v>24.9</v>
      </c>
      <c r="BJ48" s="37">
        <f t="shared" si="43"/>
        <v>24.933333333333334</v>
      </c>
      <c r="BK48" s="2">
        <f>_xlfn.STDEV.S(BG48:BI48)</f>
        <v>0.55075705472861092</v>
      </c>
      <c r="BL48" s="8">
        <v>0.65</v>
      </c>
      <c r="BM48" s="8">
        <v>0.61</v>
      </c>
      <c r="BN48" s="8">
        <v>0.62</v>
      </c>
      <c r="BO48" s="8">
        <f t="shared" si="45"/>
        <v>0.62666666666666659</v>
      </c>
      <c r="BP48" s="9">
        <f t="shared" si="46"/>
        <v>2.0816659994661344E-2</v>
      </c>
      <c r="BQ48" s="10">
        <v>113</v>
      </c>
      <c r="BR48" s="10">
        <v>116</v>
      </c>
      <c r="BS48" s="10">
        <v>5</v>
      </c>
      <c r="BT48" s="10">
        <v>2</v>
      </c>
      <c r="BU48" s="10">
        <f t="shared" si="28"/>
        <v>123</v>
      </c>
      <c r="BV48" s="10">
        <v>11.67</v>
      </c>
      <c r="BW48" s="10">
        <v>3.91</v>
      </c>
      <c r="BX48" s="10">
        <v>9.41</v>
      </c>
      <c r="BY48" s="38">
        <v>45996</v>
      </c>
      <c r="BZ48" s="3" t="s">
        <v>84</v>
      </c>
      <c r="CA48" s="16"/>
    </row>
    <row r="49" spans="2:79" thickBot="1" x14ac:dyDescent="0.25">
      <c r="B49" s="3">
        <v>1</v>
      </c>
      <c r="C49" s="3">
        <v>1</v>
      </c>
      <c r="D49" s="5">
        <v>43</v>
      </c>
      <c r="E49" s="6">
        <v>190</v>
      </c>
      <c r="F49" s="6">
        <v>200</v>
      </c>
      <c r="G49" s="6">
        <v>0.2</v>
      </c>
      <c r="H49" s="6">
        <v>120</v>
      </c>
      <c r="I49" s="6" t="s">
        <v>86</v>
      </c>
      <c r="J49" s="6">
        <v>30</v>
      </c>
      <c r="K49" s="6">
        <v>69.680000000000007</v>
      </c>
      <c r="L49" s="6">
        <v>69.69</v>
      </c>
      <c r="M49" s="6">
        <v>69.72</v>
      </c>
      <c r="N49" s="56">
        <f t="shared" si="41"/>
        <v>69.696666666666673</v>
      </c>
      <c r="O49" s="56">
        <f t="shared" si="42"/>
        <v>2.0816659994658326E-2</v>
      </c>
      <c r="P49" s="56">
        <f t="shared" si="6"/>
        <v>0.30333333333332746</v>
      </c>
      <c r="Q49" s="6">
        <v>49.69</v>
      </c>
      <c r="R49" s="6">
        <v>49.7</v>
      </c>
      <c r="S49" s="6">
        <v>49.7</v>
      </c>
      <c r="T49" s="56">
        <f t="shared" si="29"/>
        <v>49.696666666666665</v>
      </c>
      <c r="U49" s="56">
        <f t="shared" si="30"/>
        <v>5.7735026918992113E-3</v>
      </c>
      <c r="V49" s="56">
        <f t="shared" si="7"/>
        <v>0.30333333333333456</v>
      </c>
      <c r="W49" s="6">
        <v>5.03</v>
      </c>
      <c r="X49" s="6">
        <v>5.0199999999999996</v>
      </c>
      <c r="Y49" s="6">
        <v>5.04</v>
      </c>
      <c r="Z49" s="56">
        <f t="shared" si="31"/>
        <v>5.03</v>
      </c>
      <c r="AA49" s="56">
        <f t="shared" si="32"/>
        <v>1.0000000000000231E-2</v>
      </c>
      <c r="AB49" s="56">
        <f t="shared" si="8"/>
        <v>3.0000000000000249E-2</v>
      </c>
      <c r="AC49" s="52">
        <v>69.644300000000001</v>
      </c>
      <c r="AD49" s="52">
        <f t="shared" si="9"/>
        <v>0.35569999999999879</v>
      </c>
      <c r="AE49" s="52">
        <v>49.363399999999999</v>
      </c>
      <c r="AF49" s="52">
        <f t="shared" si="10"/>
        <v>0.63660000000000139</v>
      </c>
      <c r="AG49" s="52">
        <v>6.5339999999999998</v>
      </c>
      <c r="AH49" s="52">
        <f t="shared" si="11"/>
        <v>1.5339999999999998</v>
      </c>
      <c r="AI49" s="56">
        <v>7.0940000000000003</v>
      </c>
      <c r="AJ49" s="56">
        <v>5.4260000000000002</v>
      </c>
      <c r="AK49" s="56">
        <f t="shared" si="12"/>
        <v>6.26</v>
      </c>
      <c r="AL49" s="56">
        <f t="shared" si="13"/>
        <v>1.1794541110191641</v>
      </c>
      <c r="AM49" s="56">
        <v>7.4610000000000003</v>
      </c>
      <c r="AN49" s="56">
        <v>7.5679999999999996</v>
      </c>
      <c r="AO49" s="56">
        <f t="shared" si="14"/>
        <v>7.5145</v>
      </c>
      <c r="AP49" s="56">
        <f t="shared" si="15"/>
        <v>7.5660425586960095E-2</v>
      </c>
      <c r="AQ49" s="56">
        <v>8.0039999999999996</v>
      </c>
      <c r="AR49" s="56">
        <v>6.4669999999999996</v>
      </c>
      <c r="AS49" s="56">
        <f t="shared" si="16"/>
        <v>7.2355</v>
      </c>
      <c r="AT49" s="56">
        <f t="shared" si="17"/>
        <v>1.0868231226837173</v>
      </c>
      <c r="AU49" s="56">
        <v>8.6859999999999999</v>
      </c>
      <c r="AV49" s="56">
        <v>9.1959999999999997</v>
      </c>
      <c r="AW49" s="56">
        <f t="shared" si="18"/>
        <v>8.9409999999999989</v>
      </c>
      <c r="AX49" s="56">
        <f t="shared" si="19"/>
        <v>0.36062445840513907</v>
      </c>
      <c r="AY49" s="56">
        <v>27.721</v>
      </c>
      <c r="AZ49" s="56">
        <v>24.681000000000001</v>
      </c>
      <c r="BA49" s="56">
        <f t="shared" si="20"/>
        <v>26.201000000000001</v>
      </c>
      <c r="BB49" s="56">
        <f t="shared" si="21"/>
        <v>2.149604614807104</v>
      </c>
      <c r="BC49" s="56">
        <v>34.073999999999998</v>
      </c>
      <c r="BD49" s="56">
        <v>35.863999999999997</v>
      </c>
      <c r="BE49" s="56">
        <f t="shared" si="22"/>
        <v>34.968999999999994</v>
      </c>
      <c r="BF49" s="56">
        <f t="shared" si="23"/>
        <v>1.2657211383239195</v>
      </c>
      <c r="BG49" s="6">
        <v>21.6</v>
      </c>
      <c r="BH49" s="6">
        <v>23.9</v>
      </c>
      <c r="BI49" s="6">
        <v>24.8</v>
      </c>
      <c r="BJ49" s="6">
        <f t="shared" si="43"/>
        <v>23.433333333333334</v>
      </c>
      <c r="BK49" s="6">
        <f t="shared" si="44"/>
        <v>1.6502525059315412</v>
      </c>
      <c r="BL49" s="17">
        <v>0.74</v>
      </c>
      <c r="BM49" s="17">
        <v>0.65</v>
      </c>
      <c r="BN49" s="17">
        <v>0.63</v>
      </c>
      <c r="BO49" s="17">
        <f t="shared" si="45"/>
        <v>0.67333333333333334</v>
      </c>
      <c r="BP49" s="18">
        <f t="shared" si="46"/>
        <v>5.8594652770823138E-2</v>
      </c>
      <c r="BQ49" s="27">
        <v>21</v>
      </c>
      <c r="BR49" s="27">
        <v>25</v>
      </c>
      <c r="BS49" s="27">
        <v>5</v>
      </c>
      <c r="BT49" s="27">
        <v>2</v>
      </c>
      <c r="BU49" s="27">
        <f t="shared" si="28"/>
        <v>32</v>
      </c>
      <c r="BV49" s="27">
        <v>13.03</v>
      </c>
      <c r="BW49" s="27">
        <v>4.37</v>
      </c>
      <c r="BX49" s="27">
        <v>10.51</v>
      </c>
      <c r="BY49" s="44">
        <v>45996</v>
      </c>
      <c r="BZ49" s="6" t="s">
        <v>84</v>
      </c>
      <c r="CA49" s="7"/>
    </row>
    <row r="50" spans="2:79" x14ac:dyDescent="0.25">
      <c r="BR50" s="1">
        <f>SUM(BR7:BR49)</f>
        <v>2174</v>
      </c>
      <c r="BV50" s="1">
        <f>SUM(BV7:BV49)</f>
        <v>464.61</v>
      </c>
      <c r="BW50" s="1">
        <f>SUM(BW7:BW49)</f>
        <v>155.72999999999999</v>
      </c>
      <c r="BX50" s="1">
        <f>SUM(BX7:BX49)</f>
        <v>374.63</v>
      </c>
    </row>
    <row r="1048576" spans="73:73" x14ac:dyDescent="0.25">
      <c r="BU1048576" s="1">
        <f>SUM(BU1:BU1048575)</f>
        <v>2475</v>
      </c>
    </row>
  </sheetData>
  <pageMargins left="0.7" right="0.7" top="0.75" bottom="0.75" header="0.3" footer="0.3"/>
  <pageSetup orientation="portrait" horizontalDpi="0" verticalDpi="0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6CEE55-E9CD-491A-A067-389301A39A2F}">
  <dimension ref="B2:I13"/>
  <sheetViews>
    <sheetView workbookViewId="0">
      <selection activeCell="H13" sqref="H13"/>
    </sheetView>
  </sheetViews>
  <sheetFormatPr baseColWidth="10" defaultColWidth="11.42578125" defaultRowHeight="15" x14ac:dyDescent="0.25"/>
  <cols>
    <col min="9" max="9" width="13.140625" customWidth="1"/>
  </cols>
  <sheetData>
    <row r="2" spans="2:9" ht="45" x14ac:dyDescent="0.25">
      <c r="B2" s="41" t="s">
        <v>91</v>
      </c>
      <c r="C2" s="41" t="s">
        <v>92</v>
      </c>
      <c r="D2" s="41" t="s">
        <v>93</v>
      </c>
      <c r="E2" s="41" t="s">
        <v>94</v>
      </c>
      <c r="F2" s="41" t="s">
        <v>95</v>
      </c>
      <c r="G2" s="41" t="s">
        <v>96</v>
      </c>
      <c r="H2" s="41" t="s">
        <v>97</v>
      </c>
      <c r="I2" s="41" t="s">
        <v>98</v>
      </c>
    </row>
    <row r="3" spans="2:9" x14ac:dyDescent="0.25">
      <c r="B3" s="42">
        <v>1</v>
      </c>
      <c r="C3" s="42">
        <v>190</v>
      </c>
      <c r="D3" s="42">
        <v>100</v>
      </c>
      <c r="E3" s="42">
        <v>95.454999999999998</v>
      </c>
      <c r="F3" s="42">
        <v>0.3</v>
      </c>
      <c r="G3" s="42">
        <v>24.9495</v>
      </c>
      <c r="H3" s="43">
        <v>10.535500000000001</v>
      </c>
      <c r="I3" s="43">
        <v>1</v>
      </c>
    </row>
    <row r="4" spans="2:9" x14ac:dyDescent="0.25">
      <c r="B4" s="42">
        <v>2</v>
      </c>
      <c r="C4" s="42">
        <v>190</v>
      </c>
      <c r="D4" s="42">
        <v>100</v>
      </c>
      <c r="E4" s="42">
        <v>120</v>
      </c>
      <c r="F4" s="42">
        <v>0.41204800000000003</v>
      </c>
      <c r="G4" s="42">
        <v>29.909300000000002</v>
      </c>
      <c r="H4" s="42">
        <v>16.714200000000002</v>
      </c>
      <c r="I4" s="42">
        <v>0.97838999999999998</v>
      </c>
    </row>
    <row r="5" spans="2:9" x14ac:dyDescent="0.25">
      <c r="B5" s="42">
        <v>3</v>
      </c>
      <c r="C5" s="42">
        <v>209.99</v>
      </c>
      <c r="D5" s="42">
        <v>100</v>
      </c>
      <c r="E5" s="42">
        <v>118.87</v>
      </c>
      <c r="F5" s="42">
        <v>0.3</v>
      </c>
      <c r="G5" s="42">
        <v>29.9162</v>
      </c>
      <c r="H5" s="42">
        <v>16.9511</v>
      </c>
      <c r="I5" s="42">
        <v>0.97279000000000004</v>
      </c>
    </row>
    <row r="6" spans="2:9" x14ac:dyDescent="0.25">
      <c r="B6" s="42">
        <v>4</v>
      </c>
      <c r="C6" s="42">
        <v>209.982</v>
      </c>
      <c r="D6" s="42">
        <v>100</v>
      </c>
      <c r="E6" s="42">
        <v>120</v>
      </c>
      <c r="F6" s="42">
        <v>0.3</v>
      </c>
      <c r="G6" s="42">
        <v>22.0731</v>
      </c>
      <c r="H6" s="42">
        <v>17.403300000000002</v>
      </c>
      <c r="I6" s="42">
        <v>0.96209999999999996</v>
      </c>
    </row>
    <row r="7" spans="2:9" x14ac:dyDescent="0.25">
      <c r="B7" s="42">
        <v>5</v>
      </c>
      <c r="C7" s="42">
        <v>209.99</v>
      </c>
      <c r="D7" s="42">
        <v>100</v>
      </c>
      <c r="E7" s="42">
        <v>120</v>
      </c>
      <c r="F7" s="42">
        <v>0.36648999999999998</v>
      </c>
      <c r="G7" s="42">
        <v>29.999099999999999</v>
      </c>
      <c r="H7" s="42">
        <v>17.906400000000001</v>
      </c>
      <c r="I7" s="42">
        <v>0.95020000000000004</v>
      </c>
    </row>
    <row r="8" spans="2:9" x14ac:dyDescent="0.25">
      <c r="B8" s="42">
        <v>6</v>
      </c>
      <c r="C8" s="42">
        <v>190</v>
      </c>
      <c r="D8" s="42">
        <v>100</v>
      </c>
      <c r="E8" s="42">
        <v>118.587</v>
      </c>
      <c r="F8" s="42">
        <v>0.3</v>
      </c>
      <c r="G8" s="42">
        <v>10.043900000000001</v>
      </c>
      <c r="H8" s="42">
        <v>18.0579</v>
      </c>
      <c r="I8" s="42">
        <v>0.94662000000000002</v>
      </c>
    </row>
    <row r="9" spans="2:9" x14ac:dyDescent="0.25">
      <c r="B9" s="42">
        <v>7</v>
      </c>
      <c r="C9" s="42">
        <v>190</v>
      </c>
      <c r="D9" s="42">
        <v>100</v>
      </c>
      <c r="E9" s="42">
        <v>120</v>
      </c>
      <c r="F9" s="42">
        <v>0.34356700000000001</v>
      </c>
      <c r="G9" s="42">
        <v>10.0022</v>
      </c>
      <c r="H9" s="42">
        <v>18.691400000000002</v>
      </c>
      <c r="I9" s="42">
        <v>0.93164000000000002</v>
      </c>
    </row>
    <row r="10" spans="2:9" x14ac:dyDescent="0.25">
      <c r="B10" s="42">
        <v>8</v>
      </c>
      <c r="C10" s="42">
        <v>190</v>
      </c>
      <c r="D10" s="42">
        <v>100</v>
      </c>
      <c r="E10" s="42">
        <v>30.009</v>
      </c>
      <c r="F10" s="42">
        <v>0.301097</v>
      </c>
      <c r="G10" s="42">
        <v>29.721800000000002</v>
      </c>
      <c r="H10" s="42">
        <v>21.526800000000001</v>
      </c>
      <c r="I10" s="42">
        <v>0.86462000000000006</v>
      </c>
    </row>
    <row r="11" spans="2:9" x14ac:dyDescent="0.25">
      <c r="B11" s="42">
        <v>9</v>
      </c>
      <c r="C11" s="42">
        <v>190</v>
      </c>
      <c r="D11" s="42">
        <v>100</v>
      </c>
      <c r="E11" s="42">
        <v>30</v>
      </c>
      <c r="F11" s="42">
        <v>0.5</v>
      </c>
      <c r="G11" s="42">
        <v>23.498799999999999</v>
      </c>
      <c r="H11" s="42">
        <v>26.7331</v>
      </c>
      <c r="I11" s="42">
        <v>0.74153000000000002</v>
      </c>
    </row>
    <row r="12" spans="2:9" x14ac:dyDescent="0.25">
      <c r="B12" s="42">
        <v>10</v>
      </c>
      <c r="C12" s="42">
        <v>200</v>
      </c>
      <c r="D12" s="42">
        <v>150</v>
      </c>
      <c r="E12" s="42">
        <v>75</v>
      </c>
      <c r="F12" s="42">
        <v>0.40246700000000002</v>
      </c>
      <c r="G12" s="42">
        <v>26.9861</v>
      </c>
      <c r="H12" s="42">
        <v>26.7851</v>
      </c>
      <c r="I12" s="42">
        <v>0.74031000000000002</v>
      </c>
    </row>
    <row r="13" spans="2:9" x14ac:dyDescent="0.25">
      <c r="B13" t="s">
        <v>99</v>
      </c>
      <c r="C13">
        <f>AVERAGE(C3:C12)</f>
        <v>196.99619999999999</v>
      </c>
      <c r="D13">
        <f t="shared" ref="D13:I13" si="0">AVERAGE(D3:D12)</f>
        <v>105</v>
      </c>
      <c r="E13">
        <f t="shared" si="0"/>
        <v>94.792100000000005</v>
      </c>
      <c r="F13">
        <f t="shared" si="0"/>
        <v>0.35256690000000002</v>
      </c>
      <c r="G13">
        <f t="shared" si="0"/>
        <v>23.709999999999997</v>
      </c>
      <c r="H13">
        <f t="shared" si="0"/>
        <v>19.130480000000002</v>
      </c>
      <c r="I13">
        <f t="shared" si="0"/>
        <v>0.90882000000000007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147058-0C46-4CF9-B757-68508ACEAE21}">
  <dimension ref="B1:BY51"/>
  <sheetViews>
    <sheetView topLeftCell="A4" zoomScaleNormal="100" workbookViewId="0">
      <pane xSplit="8" ySplit="3" topLeftCell="AF29" activePane="bottomRight" state="frozen"/>
      <selection pane="topRight" activeCell="I4" sqref="I4"/>
      <selection pane="bottomLeft" activeCell="A7" sqref="A7"/>
      <selection pane="bottomRight" activeCell="C6" sqref="C6:H49"/>
    </sheetView>
  </sheetViews>
  <sheetFormatPr baseColWidth="10" defaultColWidth="9.140625" defaultRowHeight="15" x14ac:dyDescent="0.25"/>
  <cols>
    <col min="1" max="1" width="9.140625" style="3"/>
    <col min="2" max="2" width="13.5703125" style="3" customWidth="1"/>
    <col min="3" max="3" width="14.5703125" style="3" customWidth="1"/>
    <col min="4" max="4" width="11.85546875" style="3" customWidth="1"/>
    <col min="5" max="5" width="11" style="3" customWidth="1"/>
    <col min="6" max="6" width="15.5703125" style="3" customWidth="1"/>
    <col min="7" max="7" width="13.5703125" style="3" customWidth="1"/>
    <col min="8" max="8" width="13.140625" style="3" customWidth="1"/>
    <col min="9" max="11" width="0" style="3" hidden="1" customWidth="1"/>
    <col min="12" max="12" width="11.42578125" style="3" hidden="1" customWidth="1"/>
    <col min="13" max="13" width="9.7109375" style="3" hidden="1" customWidth="1"/>
    <col min="14" max="14" width="15.140625" style="3" customWidth="1"/>
    <col min="15" max="17" width="9.28515625" style="3" hidden="1" customWidth="1"/>
    <col min="18" max="18" width="13" style="28" hidden="1" customWidth="1"/>
    <col min="19" max="19" width="11.85546875" style="28" hidden="1" customWidth="1"/>
    <col min="20" max="20" width="15" style="28" customWidth="1"/>
    <col min="21" max="23" width="9.140625" style="3" hidden="1" customWidth="1"/>
    <col min="24" max="24" width="9.7109375" style="28" hidden="1" customWidth="1"/>
    <col min="25" max="25" width="10.140625" style="28" hidden="1" customWidth="1"/>
    <col min="26" max="26" width="15.42578125" style="28" customWidth="1"/>
    <col min="27" max="27" width="15.42578125" style="28" hidden="1" customWidth="1"/>
    <col min="28" max="28" width="15.42578125" style="28" customWidth="1"/>
    <col min="29" max="29" width="15.42578125" style="28" hidden="1" customWidth="1"/>
    <col min="30" max="30" width="15.42578125" style="28" customWidth="1"/>
    <col min="31" max="31" width="15.42578125" style="28" hidden="1" customWidth="1"/>
    <col min="32" max="32" width="15.42578125" style="28" customWidth="1"/>
    <col min="33" max="34" width="11.5703125" style="28" hidden="1" customWidth="1"/>
    <col min="35" max="35" width="17.7109375" style="28" customWidth="1"/>
    <col min="36" max="36" width="16.42578125" style="28" hidden="1" customWidth="1"/>
    <col min="37" max="38" width="12" style="28" hidden="1" customWidth="1"/>
    <col min="39" max="39" width="17.5703125" style="28" customWidth="1"/>
    <col min="40" max="40" width="15.42578125" style="28" hidden="1" customWidth="1"/>
    <col min="41" max="42" width="11.5703125" style="28" hidden="1" customWidth="1"/>
    <col min="43" max="43" width="18.42578125" style="28" customWidth="1"/>
    <col min="44" max="44" width="16.42578125" style="28" hidden="1" customWidth="1"/>
    <col min="45" max="46" width="12" style="28" hidden="1" customWidth="1"/>
    <col min="47" max="47" width="17.28515625" style="28" customWidth="1"/>
    <col min="48" max="48" width="15.42578125" style="28" hidden="1" customWidth="1"/>
    <col min="49" max="50" width="11.5703125" style="28" hidden="1" customWidth="1"/>
    <col min="51" max="51" width="17.42578125" style="28" customWidth="1"/>
    <col min="52" max="52" width="16.42578125" style="28" hidden="1" customWidth="1"/>
    <col min="53" max="54" width="12" style="28" hidden="1" customWidth="1"/>
    <col min="55" max="55" width="17.7109375" style="28" customWidth="1"/>
    <col min="56" max="56" width="15.42578125" style="28" hidden="1" customWidth="1"/>
    <col min="57" max="57" width="6.85546875" style="3" hidden="1" customWidth="1"/>
    <col min="58" max="58" width="8.140625" style="3" hidden="1" customWidth="1"/>
    <col min="59" max="59" width="8" style="3" hidden="1" customWidth="1"/>
    <col min="60" max="60" width="10.7109375" style="3" customWidth="1"/>
    <col min="61" max="61" width="9.42578125" style="3" hidden="1" customWidth="1"/>
    <col min="62" max="62" width="8.28515625" style="14" hidden="1" customWidth="1"/>
    <col min="63" max="63" width="9.85546875" style="14" hidden="1" customWidth="1"/>
    <col min="64" max="64" width="9" style="14" hidden="1" customWidth="1"/>
    <col min="65" max="65" width="11.85546875" style="3" customWidth="1"/>
    <col min="66" max="66" width="10.5703125" style="15" hidden="1" customWidth="1"/>
    <col min="67" max="67" width="17.85546875" style="1" hidden="1" customWidth="1"/>
    <col min="68" max="68" width="18" style="1" customWidth="1"/>
    <col min="69" max="69" width="19.28515625" style="1" hidden="1" customWidth="1"/>
    <col min="70" max="70" width="16.85546875" style="1" hidden="1" customWidth="1"/>
    <col min="71" max="71" width="0" style="1" hidden="1" customWidth="1"/>
    <col min="72" max="72" width="12.42578125" style="1" customWidth="1"/>
    <col min="73" max="73" width="12.42578125" style="1" hidden="1" customWidth="1"/>
    <col min="74" max="74" width="14.42578125" style="1" hidden="1" customWidth="1"/>
    <col min="75" max="75" width="11.5703125" style="3" customWidth="1"/>
    <col min="76" max="76" width="10.7109375" style="3" bestFit="1" customWidth="1"/>
    <col min="77" max="77" width="16.5703125" style="3" customWidth="1"/>
    <col min="78" max="16384" width="9.140625" style="3"/>
  </cols>
  <sheetData>
    <row r="1" spans="2:77" x14ac:dyDescent="0.25">
      <c r="B1" s="39" t="s">
        <v>0</v>
      </c>
      <c r="C1" s="2"/>
    </row>
    <row r="2" spans="2:77" x14ac:dyDescent="0.25">
      <c r="B2" s="13" t="s">
        <v>1</v>
      </c>
      <c r="C2" s="13">
        <v>70</v>
      </c>
      <c r="E2" s="57" t="s">
        <v>2</v>
      </c>
      <c r="H2" s="59">
        <v>0.63965277777777774</v>
      </c>
      <c r="X2" s="58" t="s">
        <v>3</v>
      </c>
    </row>
    <row r="3" spans="2:77" x14ac:dyDescent="0.25">
      <c r="B3" s="13" t="s">
        <v>4</v>
      </c>
      <c r="C3" s="13">
        <v>50</v>
      </c>
      <c r="E3" s="57" t="s">
        <v>5</v>
      </c>
    </row>
    <row r="4" spans="2:77" x14ac:dyDescent="0.25">
      <c r="B4" s="13" t="s">
        <v>6</v>
      </c>
      <c r="C4" s="13">
        <v>5</v>
      </c>
      <c r="BJ4" s="11"/>
      <c r="BK4" s="11"/>
      <c r="BL4" s="11"/>
      <c r="BN4" s="12"/>
    </row>
    <row r="5" spans="2:77" ht="15.75" thickBot="1" x14ac:dyDescent="0.3">
      <c r="BJ5" s="11"/>
      <c r="BK5" s="11"/>
      <c r="BL5" s="11"/>
      <c r="BN5" s="12"/>
    </row>
    <row r="6" spans="2:77" s="2" customFormat="1" ht="60.75" thickBot="1" x14ac:dyDescent="0.3">
      <c r="B6" s="29" t="s">
        <v>7</v>
      </c>
      <c r="C6" s="30" t="s">
        <v>8</v>
      </c>
      <c r="D6" s="30" t="s">
        <v>9</v>
      </c>
      <c r="E6" s="30" t="s">
        <v>10</v>
      </c>
      <c r="F6" s="30" t="s">
        <v>11</v>
      </c>
      <c r="G6" s="31" t="s">
        <v>12</v>
      </c>
      <c r="H6" s="30" t="s">
        <v>13</v>
      </c>
      <c r="I6" s="30" t="s">
        <v>14</v>
      </c>
      <c r="J6" s="30" t="s">
        <v>15</v>
      </c>
      <c r="K6" s="30" t="s">
        <v>16</v>
      </c>
      <c r="L6" s="30" t="s">
        <v>17</v>
      </c>
      <c r="M6" s="30" t="s">
        <v>18</v>
      </c>
      <c r="N6" s="46" t="s">
        <v>19</v>
      </c>
      <c r="O6" s="30" t="s">
        <v>20</v>
      </c>
      <c r="P6" s="30" t="s">
        <v>21</v>
      </c>
      <c r="Q6" s="30" t="s">
        <v>22</v>
      </c>
      <c r="R6" s="32" t="s">
        <v>23</v>
      </c>
      <c r="S6" s="32" t="s">
        <v>24</v>
      </c>
      <c r="T6" s="46" t="s">
        <v>25</v>
      </c>
      <c r="U6" s="30" t="s">
        <v>26</v>
      </c>
      <c r="V6" s="30" t="s">
        <v>27</v>
      </c>
      <c r="W6" s="30" t="s">
        <v>28</v>
      </c>
      <c r="X6" s="32" t="s">
        <v>29</v>
      </c>
      <c r="Y6" s="32" t="s">
        <v>30</v>
      </c>
      <c r="Z6" s="46" t="s">
        <v>31</v>
      </c>
      <c r="AA6" s="32" t="s">
        <v>32</v>
      </c>
      <c r="AB6" s="45" t="s">
        <v>33</v>
      </c>
      <c r="AC6" s="30" t="s">
        <v>34</v>
      </c>
      <c r="AD6" s="45" t="s">
        <v>35</v>
      </c>
      <c r="AE6" s="30" t="s">
        <v>36</v>
      </c>
      <c r="AF6" s="45" t="s">
        <v>37</v>
      </c>
      <c r="AG6" s="60" t="s">
        <v>38</v>
      </c>
      <c r="AH6" s="60" t="s">
        <v>39</v>
      </c>
      <c r="AI6" s="60" t="s">
        <v>40</v>
      </c>
      <c r="AJ6" s="60" t="s">
        <v>41</v>
      </c>
      <c r="AK6" s="60" t="s">
        <v>42</v>
      </c>
      <c r="AL6" s="60" t="s">
        <v>43</v>
      </c>
      <c r="AM6" s="60" t="s">
        <v>44</v>
      </c>
      <c r="AN6" s="60" t="s">
        <v>45</v>
      </c>
      <c r="AO6" s="61" t="s">
        <v>46</v>
      </c>
      <c r="AP6" s="61" t="s">
        <v>47</v>
      </c>
      <c r="AQ6" s="61" t="s">
        <v>48</v>
      </c>
      <c r="AR6" s="61" t="s">
        <v>49</v>
      </c>
      <c r="AS6" s="61" t="s">
        <v>50</v>
      </c>
      <c r="AT6" s="61" t="s">
        <v>51</v>
      </c>
      <c r="AU6" s="61" t="s">
        <v>52</v>
      </c>
      <c r="AV6" s="61" t="s">
        <v>53</v>
      </c>
      <c r="AW6" s="62" t="s">
        <v>54</v>
      </c>
      <c r="AX6" s="62" t="s">
        <v>55</v>
      </c>
      <c r="AY6" s="62" t="s">
        <v>56</v>
      </c>
      <c r="AZ6" s="62" t="s">
        <v>57</v>
      </c>
      <c r="BA6" s="62" t="s">
        <v>58</v>
      </c>
      <c r="BB6" s="62" t="s">
        <v>59</v>
      </c>
      <c r="BC6" s="62" t="s">
        <v>60</v>
      </c>
      <c r="BD6" s="62" t="s">
        <v>61</v>
      </c>
      <c r="BE6" s="30" t="s">
        <v>62</v>
      </c>
      <c r="BF6" s="30" t="s">
        <v>63</v>
      </c>
      <c r="BG6" s="30" t="s">
        <v>64</v>
      </c>
      <c r="BH6" s="47" t="s">
        <v>65</v>
      </c>
      <c r="BI6" s="30" t="s">
        <v>66</v>
      </c>
      <c r="BJ6" s="33" t="s">
        <v>67</v>
      </c>
      <c r="BK6" s="33" t="s">
        <v>68</v>
      </c>
      <c r="BL6" s="33" t="s">
        <v>69</v>
      </c>
      <c r="BM6" s="47" t="s">
        <v>70</v>
      </c>
      <c r="BN6" s="34" t="s">
        <v>71</v>
      </c>
      <c r="BO6" s="30" t="s">
        <v>72</v>
      </c>
      <c r="BP6" s="48" t="s">
        <v>73</v>
      </c>
      <c r="BQ6" s="30" t="s">
        <v>74</v>
      </c>
      <c r="BR6" s="30" t="s">
        <v>75</v>
      </c>
      <c r="BS6" s="30" t="s">
        <v>76</v>
      </c>
      <c r="BT6" s="48" t="s">
        <v>77</v>
      </c>
      <c r="BU6" s="30" t="s">
        <v>78</v>
      </c>
      <c r="BV6" s="30" t="s">
        <v>79</v>
      </c>
      <c r="BW6" s="30" t="s">
        <v>80</v>
      </c>
      <c r="BX6" s="35" t="s">
        <v>81</v>
      </c>
      <c r="BY6" s="36" t="s">
        <v>82</v>
      </c>
    </row>
    <row r="7" spans="2:77" ht="14.25" x14ac:dyDescent="0.2">
      <c r="B7" s="19">
        <v>1</v>
      </c>
      <c r="C7" s="20">
        <v>210</v>
      </c>
      <c r="D7" s="20">
        <v>200</v>
      </c>
      <c r="E7" s="20">
        <v>0.2</v>
      </c>
      <c r="F7" s="20">
        <v>30</v>
      </c>
      <c r="G7" s="20" t="s">
        <v>83</v>
      </c>
      <c r="H7" s="20">
        <v>30</v>
      </c>
      <c r="I7" s="21">
        <v>69.83</v>
      </c>
      <c r="J7" s="21">
        <v>69.819999999999993</v>
      </c>
      <c r="K7" s="21">
        <v>69.84</v>
      </c>
      <c r="L7" s="53">
        <f>AVERAGE(I7:K7)</f>
        <v>69.83</v>
      </c>
      <c r="M7" s="53">
        <f>_xlfn.STDEV.S(I7:K7)</f>
        <v>1.0000000000005116E-2</v>
      </c>
      <c r="N7" s="53">
        <f>ABS($C$2-L7)</f>
        <v>0.17000000000000171</v>
      </c>
      <c r="O7" s="21">
        <v>49.83</v>
      </c>
      <c r="P7" s="21">
        <v>49.75</v>
      </c>
      <c r="Q7" s="21">
        <v>49.81</v>
      </c>
      <c r="R7" s="53">
        <f t="shared" ref="R7:R49" si="0">AVERAGE(O7:Q7)</f>
        <v>49.79666666666666</v>
      </c>
      <c r="S7" s="53">
        <f t="shared" ref="S7:S49" si="1">_xlfn.STDEV.S(O7:Q7)</f>
        <v>4.1633319989322334E-2</v>
      </c>
      <c r="T7" s="53">
        <f>ABS($C$3-R7)</f>
        <v>0.20333333333334025</v>
      </c>
      <c r="U7" s="21">
        <v>4.97</v>
      </c>
      <c r="V7" s="21">
        <v>4.99</v>
      </c>
      <c r="W7" s="21">
        <v>4.9800000000000004</v>
      </c>
      <c r="X7" s="53">
        <f t="shared" ref="X7:X49" si="2">AVERAGE(U7:W7)</f>
        <v>4.9800000000000004</v>
      </c>
      <c r="Y7" s="53">
        <f t="shared" ref="Y7:Y49" si="3">_xlfn.STDEV.S(U7:W7)</f>
        <v>1.0000000000000231E-2</v>
      </c>
      <c r="Z7" s="53">
        <f>ABS($C$4-X7)</f>
        <v>1.9999999999999574E-2</v>
      </c>
      <c r="AA7" s="49">
        <v>69.707800000000006</v>
      </c>
      <c r="AB7" s="49">
        <f>ABS($C$2-AA7)</f>
        <v>0.29219999999999402</v>
      </c>
      <c r="AC7" s="49">
        <v>49.676000000000002</v>
      </c>
      <c r="AD7" s="49">
        <f>ABS($C$3-AC7)</f>
        <v>0.32399999999999807</v>
      </c>
      <c r="AE7" s="49">
        <v>4.7826000000000004</v>
      </c>
      <c r="AF7" s="49">
        <f>ABS($C$4-AE7)</f>
        <v>0.21739999999999959</v>
      </c>
      <c r="AG7" s="53">
        <v>6.859</v>
      </c>
      <c r="AH7" s="53">
        <v>6.2140000000000004</v>
      </c>
      <c r="AI7" s="53">
        <f>AVERAGE(AG7:AH7)</f>
        <v>6.5365000000000002</v>
      </c>
      <c r="AJ7" s="53">
        <f>_xlfn.STDEV.S(AG7:AH7)</f>
        <v>0.45608387386532284</v>
      </c>
      <c r="AK7" s="53">
        <v>7.2569999999999997</v>
      </c>
      <c r="AL7" s="53">
        <v>7.12</v>
      </c>
      <c r="AM7" s="53">
        <f>AVERAGE(AK7:AL7)</f>
        <v>7.1884999999999994</v>
      </c>
      <c r="AN7" s="53">
        <f>_xlfn.STDEV.S(AK7:AL7)</f>
        <v>9.6873629022556709E-2</v>
      </c>
      <c r="AO7" s="53">
        <v>7.67</v>
      </c>
      <c r="AP7" s="53">
        <v>7.0640000000000001</v>
      </c>
      <c r="AQ7" s="53">
        <f>AVERAGE(AO7:AP7)</f>
        <v>7.367</v>
      </c>
      <c r="AR7" s="53">
        <f>_xlfn.STDEV.S(AO7:AP7)</f>
        <v>0.42850670939904772</v>
      </c>
      <c r="AS7" s="53">
        <v>8.5869999999999997</v>
      </c>
      <c r="AT7" s="53">
        <v>8.1259999999999994</v>
      </c>
      <c r="AU7" s="53">
        <f>AVERAGE(AS7:AT7)</f>
        <v>8.3565000000000005</v>
      </c>
      <c r="AV7" s="53">
        <f>_xlfn.STDEV.S(AS7:AT7)</f>
        <v>0.32597622612699861</v>
      </c>
      <c r="AW7" s="53">
        <v>25.768000000000001</v>
      </c>
      <c r="AX7" s="53">
        <v>25.285</v>
      </c>
      <c r="AY7" s="53">
        <f>AVERAGE(AW7:AX7)</f>
        <v>25.526499999999999</v>
      </c>
      <c r="AZ7" s="53">
        <f>_xlfn.STDEV.S(AW7:AX7)</f>
        <v>0.34153257531310283</v>
      </c>
      <c r="BA7" s="53">
        <v>36.231000000000002</v>
      </c>
      <c r="BB7" s="53">
        <v>30.152000000000001</v>
      </c>
      <c r="BC7" s="53">
        <f>AVERAGE(BA7:BB7)</f>
        <v>33.191500000000005</v>
      </c>
      <c r="BD7" s="53">
        <f>_xlfn.STDEV.S(BA7:BB7)</f>
        <v>4.2985021228330229</v>
      </c>
      <c r="BE7" s="21">
        <v>25.1</v>
      </c>
      <c r="BF7" s="21">
        <v>26.2</v>
      </c>
      <c r="BG7" s="21">
        <v>25.5</v>
      </c>
      <c r="BH7" s="22">
        <f>AVERAGE(BE7:BG7)</f>
        <v>25.599999999999998</v>
      </c>
      <c r="BI7" s="21">
        <f>_xlfn.STDEV.S(BE7:BG7)</f>
        <v>0.55677643628300111</v>
      </c>
      <c r="BJ7" s="23">
        <v>0.68</v>
      </c>
      <c r="BK7" s="23">
        <v>0.63</v>
      </c>
      <c r="BL7" s="23">
        <v>0.64</v>
      </c>
      <c r="BM7" s="23">
        <f>AVERAGE(BJ7:BL7)</f>
        <v>0.65</v>
      </c>
      <c r="BN7" s="24">
        <f>_xlfn.STDEV.S(BJ7:BL7)</f>
        <v>2.6457513110645932E-2</v>
      </c>
      <c r="BO7" s="40">
        <v>68</v>
      </c>
      <c r="BP7" s="40">
        <v>71</v>
      </c>
      <c r="BQ7" s="40">
        <v>5</v>
      </c>
      <c r="BR7" s="40">
        <v>2</v>
      </c>
      <c r="BS7" s="40">
        <f>SUM(BP7:BR7)</f>
        <v>78</v>
      </c>
      <c r="BT7" s="40">
        <v>13.03</v>
      </c>
      <c r="BU7" s="40">
        <v>4.37</v>
      </c>
      <c r="BV7" s="40">
        <v>10.51</v>
      </c>
      <c r="BW7" s="25">
        <v>45993</v>
      </c>
      <c r="BX7" s="20" t="s">
        <v>84</v>
      </c>
      <c r="BY7" s="26"/>
    </row>
    <row r="8" spans="2:77" ht="14.25" x14ac:dyDescent="0.2">
      <c r="B8" s="4">
        <v>2</v>
      </c>
      <c r="C8" s="3">
        <v>190</v>
      </c>
      <c r="D8" s="3">
        <v>150</v>
      </c>
      <c r="E8" s="3">
        <v>0.15</v>
      </c>
      <c r="F8" s="3">
        <v>75</v>
      </c>
      <c r="G8" s="3" t="s">
        <v>85</v>
      </c>
      <c r="H8" s="3">
        <v>20</v>
      </c>
      <c r="I8" s="2">
        <v>69.8</v>
      </c>
      <c r="J8" s="2">
        <v>69.78</v>
      </c>
      <c r="K8" s="2">
        <v>69.81</v>
      </c>
      <c r="L8" s="54">
        <f t="shared" ref="L8:L49" si="4">AVERAGE(I8:K8)</f>
        <v>69.796666666666667</v>
      </c>
      <c r="M8" s="54">
        <f t="shared" ref="M8:M49" si="5">_xlfn.STDEV.S(I8:K8)</f>
        <v>1.5275252316519527E-2</v>
      </c>
      <c r="N8" s="54">
        <f t="shared" ref="N8:N49" si="6">ABS($C$2-L8)</f>
        <v>0.20333333333333314</v>
      </c>
      <c r="O8" s="2">
        <v>49.73</v>
      </c>
      <c r="P8" s="2">
        <v>49.74</v>
      </c>
      <c r="Q8" s="2">
        <v>49.76</v>
      </c>
      <c r="R8" s="54">
        <f t="shared" si="0"/>
        <v>49.743333333333332</v>
      </c>
      <c r="S8" s="54">
        <f t="shared" si="1"/>
        <v>1.5275252316519529E-2</v>
      </c>
      <c r="T8" s="54">
        <f t="shared" ref="T8:T49" si="7">ABS($C$3-R8)</f>
        <v>0.25666666666666771</v>
      </c>
      <c r="U8" s="2">
        <v>5.03</v>
      </c>
      <c r="V8" s="2">
        <v>5.05</v>
      </c>
      <c r="W8" s="2">
        <v>5.0199999999999996</v>
      </c>
      <c r="X8" s="54">
        <f t="shared" si="2"/>
        <v>5.0333333333333332</v>
      </c>
      <c r="Y8" s="54">
        <f t="shared" si="3"/>
        <v>1.5275252316519529E-2</v>
      </c>
      <c r="Z8" s="54">
        <f t="shared" ref="Z8:Z49" si="8">ABS($C$4-X8)</f>
        <v>3.3333333333333215E-2</v>
      </c>
      <c r="AA8" s="50">
        <v>69.601900000000001</v>
      </c>
      <c r="AB8" s="50">
        <f t="shared" ref="AB8:AB49" si="9">ABS($C$2-AA8)</f>
        <v>0.39809999999999945</v>
      </c>
      <c r="AC8" s="50">
        <v>49.555300000000003</v>
      </c>
      <c r="AD8" s="50">
        <f t="shared" ref="AD8:AD49" si="10">ABS($C$3-AC8)</f>
        <v>0.44469999999999743</v>
      </c>
      <c r="AE8" s="50">
        <v>5.4961000000000002</v>
      </c>
      <c r="AF8" s="50">
        <f t="shared" ref="AF8:AF49" si="11">ABS($C$4-AE8)</f>
        <v>0.49610000000000021</v>
      </c>
      <c r="AG8" s="54">
        <v>6.02</v>
      </c>
      <c r="AH8" s="54">
        <v>5.4359999999999999</v>
      </c>
      <c r="AI8" s="54">
        <f t="shared" ref="AI8:AI49" si="12">AVERAGE(AG8:AH8)</f>
        <v>5.7279999999999998</v>
      </c>
      <c r="AJ8" s="54">
        <f t="shared" ref="AJ8:AJ49" si="13">_xlfn.STDEV.S(AG8:AH8)</f>
        <v>0.41295036021294351</v>
      </c>
      <c r="AK8" s="54">
        <v>7.44</v>
      </c>
      <c r="AL8" s="54">
        <v>8.4789999999999992</v>
      </c>
      <c r="AM8" s="54">
        <f t="shared" ref="AM8:AM49" si="14">AVERAGE(AK8:AL8)</f>
        <v>7.9595000000000002</v>
      </c>
      <c r="AN8" s="54">
        <f t="shared" ref="AN8:AN49" si="15">_xlfn.STDEV.S(AK8:AL8)</f>
        <v>0.73468394565282202</v>
      </c>
      <c r="AO8" s="54">
        <v>8.907</v>
      </c>
      <c r="AP8" s="54">
        <v>7.8529999999999998</v>
      </c>
      <c r="AQ8" s="54">
        <f t="shared" ref="AQ8:AQ49" si="16">AVERAGE(AO8:AP8)</f>
        <v>8.379999999999999</v>
      </c>
      <c r="AR8" s="54">
        <f t="shared" ref="AR8:AR49" si="17">_xlfn.STDEV.S(AO8:AP8)</f>
        <v>0.74529054737062128</v>
      </c>
      <c r="AS8" s="54">
        <v>10.853</v>
      </c>
      <c r="AT8" s="54">
        <v>12.069000000000001</v>
      </c>
      <c r="AU8" s="54">
        <f t="shared" ref="AU8:AU49" si="18">AVERAGE(AS8:AT8)</f>
        <v>11.461</v>
      </c>
      <c r="AV8" s="54">
        <f t="shared" ref="AV8:AV49" si="19">_xlfn.STDEV.S(AS8:AT8)</f>
        <v>0.85984184592284252</v>
      </c>
      <c r="AW8" s="54">
        <v>48.341999999999999</v>
      </c>
      <c r="AX8" s="54">
        <v>38.953000000000003</v>
      </c>
      <c r="AY8" s="54">
        <f t="shared" ref="AY8:AY49" si="20">AVERAGE(AW8:AX8)</f>
        <v>43.647500000000001</v>
      </c>
      <c r="AZ8" s="54">
        <f t="shared" ref="AZ8:AZ49" si="21">_xlfn.STDEV.S(AW8:AX8)</f>
        <v>6.639025568560486</v>
      </c>
      <c r="BA8" s="54">
        <v>60.902999999999999</v>
      </c>
      <c r="BB8" s="54">
        <v>63.468000000000004</v>
      </c>
      <c r="BC8" s="54">
        <f t="shared" ref="BC8:BC49" si="22">AVERAGE(BA8:BB8)</f>
        <v>62.185500000000005</v>
      </c>
      <c r="BD8" s="54">
        <f t="shared" ref="BD8:BD49" si="23">_xlfn.STDEV.S(BA8:BB8)</f>
        <v>1.8137288937434979</v>
      </c>
      <c r="BE8" s="2">
        <v>24.9</v>
      </c>
      <c r="BF8" s="2">
        <v>25.5</v>
      </c>
      <c r="BG8" s="2">
        <v>25.5</v>
      </c>
      <c r="BH8" s="37">
        <f t="shared" ref="BH8:BH21" si="24">AVERAGE(BE8:BG8)</f>
        <v>25.3</v>
      </c>
      <c r="BI8" s="2">
        <f t="shared" ref="BI8:BI25" si="25">_xlfn.STDEV.S(BE8:BG8)</f>
        <v>0.34641016151377624</v>
      </c>
      <c r="BJ8" s="8">
        <v>0.68</v>
      </c>
      <c r="BK8" s="8">
        <v>0.66</v>
      </c>
      <c r="BL8" s="8">
        <v>0.67</v>
      </c>
      <c r="BM8" s="8">
        <f>AVERAGE(BJ8:BL8)</f>
        <v>0.67</v>
      </c>
      <c r="BN8" s="9">
        <f>_xlfn.STDEV.S(BJ8:BL8)</f>
        <v>1.0000000000000009E-2</v>
      </c>
      <c r="BO8" s="10">
        <v>30</v>
      </c>
      <c r="BP8" s="10">
        <v>34</v>
      </c>
      <c r="BQ8" s="10">
        <v>5</v>
      </c>
      <c r="BR8" s="10">
        <v>2</v>
      </c>
      <c r="BS8" s="10">
        <f>SUM(BP8:BR8)</f>
        <v>41</v>
      </c>
      <c r="BT8" s="10">
        <v>10.39</v>
      </c>
      <c r="BU8" s="10">
        <v>3.48</v>
      </c>
      <c r="BV8" s="10">
        <v>8.3800000000000008</v>
      </c>
      <c r="BW8" s="38">
        <v>45993</v>
      </c>
      <c r="BX8" s="3" t="s">
        <v>84</v>
      </c>
      <c r="BY8" s="16"/>
    </row>
    <row r="9" spans="2:77" ht="14.25" x14ac:dyDescent="0.2">
      <c r="B9" s="4">
        <v>3</v>
      </c>
      <c r="C9" s="3">
        <v>190</v>
      </c>
      <c r="D9" s="3">
        <v>200</v>
      </c>
      <c r="E9" s="3">
        <v>0.2</v>
      </c>
      <c r="F9" s="3">
        <v>30</v>
      </c>
      <c r="G9" s="3" t="s">
        <v>86</v>
      </c>
      <c r="H9" s="3">
        <v>10</v>
      </c>
      <c r="I9" s="2">
        <v>69.81</v>
      </c>
      <c r="J9" s="2">
        <v>69.819999999999993</v>
      </c>
      <c r="K9" s="2">
        <v>69.819999999999993</v>
      </c>
      <c r="L9" s="54">
        <f t="shared" si="4"/>
        <v>69.816666666666663</v>
      </c>
      <c r="M9" s="54">
        <f t="shared" si="5"/>
        <v>5.773502691891007E-3</v>
      </c>
      <c r="N9" s="54">
        <f t="shared" si="6"/>
        <v>0.18333333333333712</v>
      </c>
      <c r="O9" s="2">
        <v>49.78</v>
      </c>
      <c r="P9" s="2">
        <v>49.79</v>
      </c>
      <c r="Q9" s="2">
        <v>49.78</v>
      </c>
      <c r="R9" s="54">
        <f t="shared" si="0"/>
        <v>49.783333333333331</v>
      </c>
      <c r="S9" s="54">
        <f t="shared" si="1"/>
        <v>5.7735026918951087E-3</v>
      </c>
      <c r="T9" s="54">
        <f t="shared" si="7"/>
        <v>0.21666666666666856</v>
      </c>
      <c r="U9" s="2">
        <v>5.03</v>
      </c>
      <c r="V9" s="2">
        <v>5.03</v>
      </c>
      <c r="W9" s="2">
        <v>5.0199999999999996</v>
      </c>
      <c r="X9" s="54">
        <f t="shared" si="2"/>
        <v>5.0266666666666664</v>
      </c>
      <c r="Y9" s="54">
        <f t="shared" si="3"/>
        <v>5.7735026918966474E-3</v>
      </c>
      <c r="Z9" s="54">
        <f t="shared" si="8"/>
        <v>2.6666666666666394E-2</v>
      </c>
      <c r="AA9" s="50">
        <v>69.770899999999997</v>
      </c>
      <c r="AB9" s="50">
        <f t="shared" si="9"/>
        <v>0.22910000000000252</v>
      </c>
      <c r="AC9" s="50">
        <v>49.464599999999997</v>
      </c>
      <c r="AD9" s="50">
        <f t="shared" si="10"/>
        <v>0.53540000000000276</v>
      </c>
      <c r="AE9" s="50">
        <v>5.0415000000000001</v>
      </c>
      <c r="AF9" s="50">
        <f t="shared" si="11"/>
        <v>4.1500000000000092E-2</v>
      </c>
      <c r="AG9" s="54">
        <v>4.899</v>
      </c>
      <c r="AH9" s="54">
        <v>5.6660000000000004</v>
      </c>
      <c r="AI9" s="54">
        <f t="shared" si="12"/>
        <v>5.2825000000000006</v>
      </c>
      <c r="AJ9" s="54">
        <f t="shared" si="13"/>
        <v>0.54235090117008222</v>
      </c>
      <c r="AK9" s="54">
        <v>4.915</v>
      </c>
      <c r="AL9" s="54">
        <v>5.1100000000000003</v>
      </c>
      <c r="AM9" s="54">
        <f t="shared" si="14"/>
        <v>5.0125000000000002</v>
      </c>
      <c r="AN9" s="54">
        <f t="shared" si="15"/>
        <v>0.13788582233137697</v>
      </c>
      <c r="AO9" s="54">
        <v>5.6280000000000001</v>
      </c>
      <c r="AP9" s="54">
        <v>6.7489999999999997</v>
      </c>
      <c r="AQ9" s="54">
        <f t="shared" si="16"/>
        <v>6.1884999999999994</v>
      </c>
      <c r="AR9" s="54">
        <f t="shared" si="17"/>
        <v>0.79266670171011944</v>
      </c>
      <c r="AS9" s="54">
        <v>6.133</v>
      </c>
      <c r="AT9" s="54">
        <v>6.157</v>
      </c>
      <c r="AU9" s="54">
        <f t="shared" si="18"/>
        <v>6.1449999999999996</v>
      </c>
      <c r="AV9" s="54">
        <f t="shared" si="19"/>
        <v>1.6970562748477157E-2</v>
      </c>
      <c r="AW9" s="54">
        <v>19.998000000000001</v>
      </c>
      <c r="AX9" s="54">
        <v>25.17</v>
      </c>
      <c r="AY9" s="54">
        <f t="shared" si="20"/>
        <v>22.584000000000003</v>
      </c>
      <c r="AZ9" s="54">
        <f t="shared" si="21"/>
        <v>3.6571562722968336</v>
      </c>
      <c r="BA9" s="54">
        <v>28.401</v>
      </c>
      <c r="BB9" s="54">
        <v>27.454999999999998</v>
      </c>
      <c r="BC9" s="54">
        <f t="shared" si="22"/>
        <v>27.927999999999997</v>
      </c>
      <c r="BD9" s="54">
        <f t="shared" si="23"/>
        <v>0.66892301500247509</v>
      </c>
      <c r="BE9" s="2">
        <v>25.3</v>
      </c>
      <c r="BF9" s="2">
        <v>25.7</v>
      </c>
      <c r="BG9" s="2">
        <v>25.5</v>
      </c>
      <c r="BH9" s="37">
        <f t="shared" si="24"/>
        <v>25.5</v>
      </c>
      <c r="BI9" s="2">
        <f t="shared" si="25"/>
        <v>0.19999999999999929</v>
      </c>
      <c r="BJ9" s="8">
        <v>0.68</v>
      </c>
      <c r="BK9" s="8">
        <v>0.68</v>
      </c>
      <c r="BL9" s="8">
        <v>0.67</v>
      </c>
      <c r="BM9" s="8">
        <f t="shared" ref="BM9:BM23" si="26">AVERAGE(BJ9:BL9)</f>
        <v>0.67666666666666675</v>
      </c>
      <c r="BN9" s="9">
        <f t="shared" ref="BN9:BN23" si="27">_xlfn.STDEV.S(BJ9:BL9)</f>
        <v>5.7735026918962623E-3</v>
      </c>
      <c r="BO9" s="10">
        <v>53</v>
      </c>
      <c r="BP9" s="10">
        <v>57</v>
      </c>
      <c r="BQ9" s="10">
        <v>5</v>
      </c>
      <c r="BR9" s="10">
        <v>2</v>
      </c>
      <c r="BS9" s="10">
        <f t="shared" ref="BS9:BS49" si="28">SUM(BP9:BR9)</f>
        <v>64</v>
      </c>
      <c r="BT9" s="10">
        <v>10.36</v>
      </c>
      <c r="BU9" s="10">
        <v>3.47</v>
      </c>
      <c r="BV9" s="10">
        <v>8.35</v>
      </c>
      <c r="BW9" s="38">
        <v>45993</v>
      </c>
      <c r="BX9" s="3" t="s">
        <v>84</v>
      </c>
      <c r="BY9" s="16"/>
    </row>
    <row r="10" spans="2:77" ht="14.25" x14ac:dyDescent="0.2">
      <c r="B10" s="4">
        <v>4</v>
      </c>
      <c r="C10" s="3">
        <v>200</v>
      </c>
      <c r="D10" s="3">
        <v>200</v>
      </c>
      <c r="E10" s="3">
        <v>0.2</v>
      </c>
      <c r="F10" s="3">
        <v>75</v>
      </c>
      <c r="G10" s="3" t="s">
        <v>85</v>
      </c>
      <c r="H10" s="3">
        <v>20</v>
      </c>
      <c r="I10" s="2">
        <v>69.8</v>
      </c>
      <c r="J10" s="2">
        <v>69.73</v>
      </c>
      <c r="K10" s="2">
        <v>69.790000000000006</v>
      </c>
      <c r="L10" s="54">
        <f t="shared" si="4"/>
        <v>69.773333333333326</v>
      </c>
      <c r="M10" s="54">
        <f t="shared" si="5"/>
        <v>3.7859388971999919E-2</v>
      </c>
      <c r="N10" s="54">
        <f>ABS($C$2-L10)</f>
        <v>0.22666666666667368</v>
      </c>
      <c r="O10" s="2">
        <v>49.69</v>
      </c>
      <c r="P10" s="2">
        <v>49.68</v>
      </c>
      <c r="Q10" s="2">
        <v>49.7</v>
      </c>
      <c r="R10" s="54">
        <f t="shared" si="0"/>
        <v>49.69</v>
      </c>
      <c r="S10" s="54">
        <f t="shared" si="1"/>
        <v>1.0000000000001563E-2</v>
      </c>
      <c r="T10" s="54">
        <f t="shared" si="7"/>
        <v>0.31000000000000227</v>
      </c>
      <c r="U10" s="2">
        <v>5.01</v>
      </c>
      <c r="V10" s="2">
        <v>5.03</v>
      </c>
      <c r="W10" s="2">
        <v>5</v>
      </c>
      <c r="X10" s="54">
        <f t="shared" si="2"/>
        <v>5.0133333333333328</v>
      </c>
      <c r="Y10" s="54">
        <f t="shared" si="3"/>
        <v>1.5275252316519626E-2</v>
      </c>
      <c r="Z10" s="54">
        <f t="shared" si="8"/>
        <v>1.3333333333332753E-2</v>
      </c>
      <c r="AA10" s="50">
        <v>69.629800000000003</v>
      </c>
      <c r="AB10" s="50">
        <f t="shared" si="9"/>
        <v>0.37019999999999698</v>
      </c>
      <c r="AC10" s="50">
        <v>49.618200000000002</v>
      </c>
      <c r="AD10" s="50">
        <f t="shared" si="10"/>
        <v>0.38179999999999836</v>
      </c>
      <c r="AE10" s="50">
        <v>5.2335000000000003</v>
      </c>
      <c r="AF10" s="50">
        <f t="shared" si="11"/>
        <v>0.23350000000000026</v>
      </c>
      <c r="AG10" s="54">
        <v>7.1150000000000002</v>
      </c>
      <c r="AH10" s="54">
        <v>5.8520000000000003</v>
      </c>
      <c r="AI10" s="54">
        <f t="shared" si="12"/>
        <v>6.4835000000000003</v>
      </c>
      <c r="AJ10" s="54">
        <f t="shared" si="13"/>
        <v>0.89307586463860944</v>
      </c>
      <c r="AK10" s="54">
        <v>7.8550000000000004</v>
      </c>
      <c r="AL10" s="54">
        <v>7.3940000000000001</v>
      </c>
      <c r="AM10" s="54">
        <f t="shared" si="14"/>
        <v>7.6245000000000003</v>
      </c>
      <c r="AN10" s="54">
        <f t="shared" si="15"/>
        <v>0.32597622612699861</v>
      </c>
      <c r="AO10" s="54">
        <v>8.3140000000000001</v>
      </c>
      <c r="AP10" s="54">
        <v>7.3390000000000004</v>
      </c>
      <c r="AQ10" s="54">
        <f t="shared" si="16"/>
        <v>7.8265000000000002</v>
      </c>
      <c r="AR10" s="54">
        <f t="shared" si="17"/>
        <v>0.68942911165688359</v>
      </c>
      <c r="AS10" s="54">
        <v>9.35</v>
      </c>
      <c r="AT10" s="54">
        <v>9.0129999999999999</v>
      </c>
      <c r="AU10" s="54">
        <f t="shared" si="18"/>
        <v>9.1814999999999998</v>
      </c>
      <c r="AV10" s="54">
        <f t="shared" si="19"/>
        <v>0.23829498525986634</v>
      </c>
      <c r="AW10" s="54">
        <v>32.875999999999998</v>
      </c>
      <c r="AX10" s="54">
        <v>36.378999999999998</v>
      </c>
      <c r="AY10" s="54">
        <f t="shared" si="20"/>
        <v>34.627499999999998</v>
      </c>
      <c r="AZ10" s="54">
        <f t="shared" si="21"/>
        <v>2.4769950544964763</v>
      </c>
      <c r="BA10" s="54">
        <v>38.470999999999997</v>
      </c>
      <c r="BB10" s="54">
        <v>39.511000000000003</v>
      </c>
      <c r="BC10" s="54">
        <f t="shared" si="22"/>
        <v>38.991</v>
      </c>
      <c r="BD10" s="54">
        <f t="shared" si="23"/>
        <v>0.73539105243401381</v>
      </c>
      <c r="BE10" s="2">
        <v>25.1</v>
      </c>
      <c r="BF10" s="2">
        <v>25.4</v>
      </c>
      <c r="BG10" s="2">
        <v>25.4</v>
      </c>
      <c r="BH10" s="37">
        <f t="shared" si="24"/>
        <v>25.3</v>
      </c>
      <c r="BI10" s="2">
        <f t="shared" si="25"/>
        <v>0.17320508075688609</v>
      </c>
      <c r="BJ10" s="8">
        <v>0.68</v>
      </c>
      <c r="BK10" s="8">
        <v>0.67</v>
      </c>
      <c r="BL10" s="8">
        <v>0.66</v>
      </c>
      <c r="BM10" s="8">
        <f t="shared" si="26"/>
        <v>0.67</v>
      </c>
      <c r="BN10" s="9">
        <f t="shared" si="27"/>
        <v>1.0000000000000009E-2</v>
      </c>
      <c r="BO10" s="10">
        <v>27</v>
      </c>
      <c r="BP10" s="10">
        <v>33</v>
      </c>
      <c r="BQ10" s="10">
        <v>5</v>
      </c>
      <c r="BR10" s="10">
        <v>2</v>
      </c>
      <c r="BS10" s="10">
        <f t="shared" si="28"/>
        <v>40</v>
      </c>
      <c r="BT10" s="10">
        <v>11.7</v>
      </c>
      <c r="BU10" s="10">
        <v>3.92</v>
      </c>
      <c r="BV10" s="10">
        <v>9.44</v>
      </c>
      <c r="BW10" s="38">
        <v>45993</v>
      </c>
      <c r="BX10" s="3" t="s">
        <v>84</v>
      </c>
      <c r="BY10" s="16"/>
    </row>
    <row r="11" spans="2:77" ht="14.25" x14ac:dyDescent="0.2">
      <c r="B11" s="4">
        <v>5</v>
      </c>
      <c r="C11" s="3">
        <v>190</v>
      </c>
      <c r="D11" s="3">
        <v>100</v>
      </c>
      <c r="E11" s="3">
        <v>0.1</v>
      </c>
      <c r="F11" s="3">
        <v>120</v>
      </c>
      <c r="G11" s="3" t="s">
        <v>86</v>
      </c>
      <c r="H11" s="3">
        <v>10</v>
      </c>
      <c r="I11" s="2">
        <v>69.87</v>
      </c>
      <c r="J11" s="2">
        <v>69.849999999999994</v>
      </c>
      <c r="K11" s="2">
        <v>69.86</v>
      </c>
      <c r="L11" s="54">
        <f t="shared" si="4"/>
        <v>69.86</v>
      </c>
      <c r="M11" s="54">
        <f t="shared" si="5"/>
        <v>1.0000000000005116E-2</v>
      </c>
      <c r="N11" s="54">
        <f t="shared" si="6"/>
        <v>0.14000000000000057</v>
      </c>
      <c r="O11" s="2">
        <v>49.81</v>
      </c>
      <c r="P11" s="2">
        <v>49.8</v>
      </c>
      <c r="Q11" s="2">
        <v>49.8</v>
      </c>
      <c r="R11" s="54">
        <f t="shared" si="0"/>
        <v>49.803333333333335</v>
      </c>
      <c r="S11" s="54">
        <f t="shared" si="1"/>
        <v>5.7735026918992113E-3</v>
      </c>
      <c r="T11" s="54">
        <f t="shared" si="7"/>
        <v>0.19666666666666544</v>
      </c>
      <c r="U11" s="2">
        <v>5.09</v>
      </c>
      <c r="V11" s="2">
        <v>5.0999999999999996</v>
      </c>
      <c r="W11" s="2">
        <v>5.09</v>
      </c>
      <c r="X11" s="54">
        <f t="shared" si="2"/>
        <v>5.0933333333333328</v>
      </c>
      <c r="Y11" s="54">
        <f t="shared" si="3"/>
        <v>5.7735026918961348E-3</v>
      </c>
      <c r="Z11" s="54">
        <f t="shared" si="8"/>
        <v>9.3333333333332824E-2</v>
      </c>
      <c r="AA11" s="50">
        <v>69.819100000000006</v>
      </c>
      <c r="AB11" s="50">
        <f t="shared" si="9"/>
        <v>0.18089999999999407</v>
      </c>
      <c r="AC11" s="50">
        <v>49.2746</v>
      </c>
      <c r="AD11" s="50">
        <f t="shared" si="10"/>
        <v>0.72540000000000049</v>
      </c>
      <c r="AE11" s="50">
        <v>5.5526</v>
      </c>
      <c r="AF11" s="50">
        <f t="shared" si="11"/>
        <v>0.55259999999999998</v>
      </c>
      <c r="AG11" s="54">
        <v>3.266</v>
      </c>
      <c r="AH11" s="54">
        <v>7.6630000000000003</v>
      </c>
      <c r="AI11" s="54">
        <f t="shared" si="12"/>
        <v>5.4645000000000001</v>
      </c>
      <c r="AJ11" s="54">
        <f t="shared" si="13"/>
        <v>3.1091485168772501</v>
      </c>
      <c r="AK11" s="54">
        <v>3.306</v>
      </c>
      <c r="AL11" s="54">
        <v>3.0619999999999998</v>
      </c>
      <c r="AM11" s="54">
        <f t="shared" si="14"/>
        <v>3.1840000000000002</v>
      </c>
      <c r="AN11" s="54">
        <f t="shared" si="15"/>
        <v>0.17253405460951773</v>
      </c>
      <c r="AO11" s="54">
        <v>4.141</v>
      </c>
      <c r="AP11" s="54">
        <v>10.71</v>
      </c>
      <c r="AQ11" s="54">
        <f t="shared" si="16"/>
        <v>7.4255000000000004</v>
      </c>
      <c r="AR11" s="54">
        <f t="shared" si="17"/>
        <v>4.6449844456144316</v>
      </c>
      <c r="AS11" s="54">
        <v>4.3659999999999997</v>
      </c>
      <c r="AT11" s="54">
        <v>4.2240000000000002</v>
      </c>
      <c r="AU11" s="54">
        <f t="shared" si="18"/>
        <v>4.2949999999999999</v>
      </c>
      <c r="AV11" s="54">
        <f t="shared" si="19"/>
        <v>0.10040916292848936</v>
      </c>
      <c r="AW11" s="54">
        <v>21.141999999999999</v>
      </c>
      <c r="AX11" s="54">
        <v>47.399000000000001</v>
      </c>
      <c r="AY11" s="54">
        <f t="shared" si="20"/>
        <v>34.270499999999998</v>
      </c>
      <c r="AZ11" s="54">
        <f t="shared" si="21"/>
        <v>18.566502753615186</v>
      </c>
      <c r="BA11" s="54">
        <v>25.754000000000001</v>
      </c>
      <c r="BB11" s="54">
        <v>26.448</v>
      </c>
      <c r="BC11" s="54">
        <f t="shared" si="22"/>
        <v>26.100999999999999</v>
      </c>
      <c r="BD11" s="54">
        <f t="shared" si="23"/>
        <v>0.49073210614346335</v>
      </c>
      <c r="BE11" s="2">
        <v>25.1</v>
      </c>
      <c r="BF11" s="2">
        <v>25.5</v>
      </c>
      <c r="BG11" s="2">
        <v>25.5</v>
      </c>
      <c r="BH11" s="37">
        <f t="shared" si="24"/>
        <v>25.366666666666664</v>
      </c>
      <c r="BI11" s="2">
        <f t="shared" si="25"/>
        <v>0.23094010767584949</v>
      </c>
      <c r="BJ11" s="8">
        <v>0.67</v>
      </c>
      <c r="BK11" s="8">
        <v>0.66</v>
      </c>
      <c r="BL11" s="8">
        <v>0.67</v>
      </c>
      <c r="BM11" s="8">
        <f t="shared" si="26"/>
        <v>0.66666666666666663</v>
      </c>
      <c r="BN11" s="9">
        <f t="shared" si="27"/>
        <v>5.7735026918962632E-3</v>
      </c>
      <c r="BO11" s="10">
        <v>25</v>
      </c>
      <c r="BP11" s="10">
        <v>28</v>
      </c>
      <c r="BQ11" s="10">
        <v>5</v>
      </c>
      <c r="BR11" s="10">
        <v>2</v>
      </c>
      <c r="BS11" s="10">
        <f t="shared" si="28"/>
        <v>35</v>
      </c>
      <c r="BT11" s="10">
        <v>8.61</v>
      </c>
      <c r="BU11" s="10">
        <v>2.89</v>
      </c>
      <c r="BV11" s="10">
        <v>6.94</v>
      </c>
      <c r="BW11" s="38">
        <v>45993</v>
      </c>
      <c r="BX11" s="3" t="s">
        <v>84</v>
      </c>
      <c r="BY11" s="16"/>
    </row>
    <row r="12" spans="2:77" ht="14.25" x14ac:dyDescent="0.2">
      <c r="B12" s="4">
        <v>6</v>
      </c>
      <c r="C12" s="3">
        <v>190</v>
      </c>
      <c r="D12" s="3">
        <v>100</v>
      </c>
      <c r="E12" s="3">
        <v>0.1</v>
      </c>
      <c r="F12" s="3">
        <v>120</v>
      </c>
      <c r="G12" s="3" t="s">
        <v>83</v>
      </c>
      <c r="H12" s="3">
        <v>10</v>
      </c>
      <c r="I12" s="2">
        <v>69.88</v>
      </c>
      <c r="J12" s="2">
        <v>69.900000000000006</v>
      </c>
      <c r="K12" s="2">
        <v>69.91</v>
      </c>
      <c r="L12" s="54">
        <f t="shared" si="4"/>
        <v>69.896666666666661</v>
      </c>
      <c r="M12" s="54">
        <f t="shared" si="5"/>
        <v>1.5275252316521078E-2</v>
      </c>
      <c r="N12" s="54">
        <f t="shared" si="6"/>
        <v>0.10333333333333883</v>
      </c>
      <c r="O12" s="2">
        <v>49.86</v>
      </c>
      <c r="P12" s="2">
        <v>49.84</v>
      </c>
      <c r="Q12" s="2">
        <v>49.89</v>
      </c>
      <c r="R12" s="54">
        <f t="shared" si="0"/>
        <v>49.863333333333337</v>
      </c>
      <c r="S12" s="54">
        <f t="shared" si="1"/>
        <v>2.516611478423459E-2</v>
      </c>
      <c r="T12" s="54">
        <f t="shared" si="7"/>
        <v>0.13666666666666316</v>
      </c>
      <c r="U12" s="2">
        <v>5.08</v>
      </c>
      <c r="V12" s="2">
        <v>5.0599999999999996</v>
      </c>
      <c r="W12" s="2">
        <v>5.09</v>
      </c>
      <c r="X12" s="54">
        <f t="shared" si="2"/>
        <v>5.0766666666666671</v>
      </c>
      <c r="Y12" s="54">
        <f t="shared" si="3"/>
        <v>1.5275252316519626E-2</v>
      </c>
      <c r="Z12" s="54">
        <f t="shared" si="8"/>
        <v>7.6666666666667105E-2</v>
      </c>
      <c r="AA12" s="50">
        <v>69.696700000000007</v>
      </c>
      <c r="AB12" s="50">
        <f t="shared" si="9"/>
        <v>0.30329999999999302</v>
      </c>
      <c r="AC12" s="50">
        <v>49.4514</v>
      </c>
      <c r="AD12" s="50">
        <f t="shared" si="10"/>
        <v>0.54860000000000042</v>
      </c>
      <c r="AE12" s="50">
        <v>5.2290999999999999</v>
      </c>
      <c r="AF12" s="50">
        <f t="shared" si="11"/>
        <v>0.22909999999999986</v>
      </c>
      <c r="AG12" s="54">
        <v>3.0619999999999998</v>
      </c>
      <c r="AH12" s="54">
        <v>2.556</v>
      </c>
      <c r="AI12" s="54">
        <f t="shared" si="12"/>
        <v>2.8090000000000002</v>
      </c>
      <c r="AJ12" s="54">
        <f t="shared" si="13"/>
        <v>0.35779603128039289</v>
      </c>
      <c r="AK12" s="54">
        <v>4.33</v>
      </c>
      <c r="AL12" s="54">
        <v>3.8330000000000002</v>
      </c>
      <c r="AM12" s="54">
        <f t="shared" si="14"/>
        <v>4.0815000000000001</v>
      </c>
      <c r="AN12" s="54">
        <f t="shared" si="15"/>
        <v>0.35143207024971407</v>
      </c>
      <c r="AO12" s="54">
        <v>4.2080000000000002</v>
      </c>
      <c r="AP12" s="54">
        <v>3.89</v>
      </c>
      <c r="AQ12" s="54">
        <f t="shared" si="16"/>
        <v>4.0490000000000004</v>
      </c>
      <c r="AR12" s="54">
        <f t="shared" si="17"/>
        <v>0.22485995641732218</v>
      </c>
      <c r="AS12" s="54">
        <v>5.9059999999999997</v>
      </c>
      <c r="AT12" s="54">
        <v>4.9690000000000003</v>
      </c>
      <c r="AU12" s="54">
        <f t="shared" si="18"/>
        <v>5.4375</v>
      </c>
      <c r="AV12" s="54">
        <f t="shared" si="19"/>
        <v>0.6625590539717946</v>
      </c>
      <c r="AW12" s="54">
        <v>25.181999999999999</v>
      </c>
      <c r="AX12" s="54">
        <v>23.481999999999999</v>
      </c>
      <c r="AY12" s="54">
        <f t="shared" si="20"/>
        <v>24.332000000000001</v>
      </c>
      <c r="AZ12" s="54">
        <f t="shared" si="21"/>
        <v>1.2020815280171302</v>
      </c>
      <c r="BA12" s="54">
        <v>36.307000000000002</v>
      </c>
      <c r="BB12" s="54">
        <v>28.911000000000001</v>
      </c>
      <c r="BC12" s="54">
        <f t="shared" si="22"/>
        <v>32.609000000000002</v>
      </c>
      <c r="BD12" s="54">
        <f t="shared" si="23"/>
        <v>5.2297617536556853</v>
      </c>
      <c r="BE12" s="2">
        <v>24.9</v>
      </c>
      <c r="BF12" s="2">
        <v>25.7</v>
      </c>
      <c r="BG12" s="2">
        <v>25.5</v>
      </c>
      <c r="BH12" s="37">
        <f t="shared" si="24"/>
        <v>25.366666666666664</v>
      </c>
      <c r="BI12" s="2">
        <f t="shared" si="25"/>
        <v>0.41633319989322704</v>
      </c>
      <c r="BJ12" s="8">
        <v>0.68</v>
      </c>
      <c r="BK12" s="8">
        <v>0.67</v>
      </c>
      <c r="BL12" s="8">
        <v>0.67</v>
      </c>
      <c r="BM12" s="8">
        <f t="shared" si="26"/>
        <v>0.67333333333333334</v>
      </c>
      <c r="BN12" s="9">
        <f t="shared" si="27"/>
        <v>5.7735026918962623E-3</v>
      </c>
      <c r="BO12" s="10">
        <v>25</v>
      </c>
      <c r="BP12" s="10">
        <v>29</v>
      </c>
      <c r="BQ12" s="10">
        <v>5</v>
      </c>
      <c r="BR12" s="10">
        <v>2</v>
      </c>
      <c r="BS12" s="10">
        <f t="shared" si="28"/>
        <v>36</v>
      </c>
      <c r="BT12" s="10">
        <v>8.61</v>
      </c>
      <c r="BU12" s="10">
        <v>2.89</v>
      </c>
      <c r="BV12" s="10">
        <v>6.94</v>
      </c>
      <c r="BW12" s="38">
        <v>45993</v>
      </c>
      <c r="BX12" s="3" t="s">
        <v>84</v>
      </c>
      <c r="BY12" s="16"/>
    </row>
    <row r="13" spans="2:77" ht="14.25" x14ac:dyDescent="0.2">
      <c r="B13" s="4">
        <v>7</v>
      </c>
      <c r="C13" s="3">
        <v>190</v>
      </c>
      <c r="D13" s="3">
        <v>100</v>
      </c>
      <c r="E13" s="3">
        <v>0.1</v>
      </c>
      <c r="F13" s="3">
        <v>30</v>
      </c>
      <c r="G13" s="3" t="s">
        <v>83</v>
      </c>
      <c r="H13" s="3">
        <v>10</v>
      </c>
      <c r="I13" s="2">
        <v>69.81</v>
      </c>
      <c r="J13" s="2">
        <v>69.849999999999994</v>
      </c>
      <c r="K13" s="2">
        <v>69.84</v>
      </c>
      <c r="L13" s="54">
        <f t="shared" si="4"/>
        <v>69.833333333333329</v>
      </c>
      <c r="M13" s="54">
        <f t="shared" si="5"/>
        <v>2.0816659994658322E-2</v>
      </c>
      <c r="N13" s="54">
        <f t="shared" si="6"/>
        <v>0.1666666666666714</v>
      </c>
      <c r="O13" s="3">
        <v>49.73</v>
      </c>
      <c r="P13" s="3">
        <v>49.77</v>
      </c>
      <c r="Q13" s="3">
        <v>49.76</v>
      </c>
      <c r="R13" s="54">
        <f t="shared" si="0"/>
        <v>49.75333333333333</v>
      </c>
      <c r="S13" s="54">
        <f t="shared" si="1"/>
        <v>2.0816659994664012E-2</v>
      </c>
      <c r="T13" s="54">
        <f t="shared" si="7"/>
        <v>0.2466666666666697</v>
      </c>
      <c r="U13" s="3">
        <v>5.0599999999999996</v>
      </c>
      <c r="V13" s="3">
        <v>5.08</v>
      </c>
      <c r="W13" s="3">
        <v>5.05</v>
      </c>
      <c r="X13" s="54">
        <f t="shared" si="2"/>
        <v>5.0633333333333335</v>
      </c>
      <c r="Y13" s="54">
        <f t="shared" si="3"/>
        <v>1.5275252316519626E-2</v>
      </c>
      <c r="Z13" s="54">
        <f t="shared" si="8"/>
        <v>6.3333333333333464E-2</v>
      </c>
      <c r="AA13" s="50">
        <v>69.795100000000005</v>
      </c>
      <c r="AB13" s="50">
        <f t="shared" si="9"/>
        <v>0.20489999999999498</v>
      </c>
      <c r="AC13" s="50">
        <v>49.358699999999999</v>
      </c>
      <c r="AD13" s="50">
        <f t="shared" si="10"/>
        <v>0.64130000000000109</v>
      </c>
      <c r="AE13" s="50">
        <v>5.0448000000000004</v>
      </c>
      <c r="AF13" s="50">
        <f t="shared" si="11"/>
        <v>4.4800000000000395E-2</v>
      </c>
      <c r="AG13" s="54">
        <v>2.7890000000000001</v>
      </c>
      <c r="AH13" s="54">
        <v>3.3730000000000002</v>
      </c>
      <c r="AI13" s="54">
        <f t="shared" si="12"/>
        <v>3.0810000000000004</v>
      </c>
      <c r="AJ13" s="54">
        <f t="shared" si="13"/>
        <v>0.41295036021294379</v>
      </c>
      <c r="AK13" s="54">
        <v>2.7730000000000001</v>
      </c>
      <c r="AL13" s="54">
        <v>2.6360000000000001</v>
      </c>
      <c r="AM13" s="54">
        <f t="shared" si="14"/>
        <v>2.7045000000000003</v>
      </c>
      <c r="AN13" s="54">
        <f t="shared" si="15"/>
        <v>9.6873629022557015E-2</v>
      </c>
      <c r="AO13" s="54">
        <v>4.4690000000000003</v>
      </c>
      <c r="AP13" s="54">
        <v>5.2610000000000001</v>
      </c>
      <c r="AQ13" s="54">
        <f t="shared" si="16"/>
        <v>4.8650000000000002</v>
      </c>
      <c r="AR13" s="54">
        <f t="shared" si="17"/>
        <v>0.56002857069974554</v>
      </c>
      <c r="AS13" s="54">
        <v>4.0339999999999998</v>
      </c>
      <c r="AT13" s="54">
        <v>3.839</v>
      </c>
      <c r="AU13" s="54">
        <f t="shared" si="18"/>
        <v>3.9364999999999997</v>
      </c>
      <c r="AV13" s="54">
        <f t="shared" si="19"/>
        <v>0.13788582233137667</v>
      </c>
      <c r="AW13" s="54">
        <v>25.323</v>
      </c>
      <c r="AX13" s="54">
        <v>23.494</v>
      </c>
      <c r="AY13" s="54">
        <f t="shared" si="20"/>
        <v>24.4085</v>
      </c>
      <c r="AZ13" s="54">
        <f t="shared" si="21"/>
        <v>1.2932983027901959</v>
      </c>
      <c r="BA13" s="54">
        <v>26.978999999999999</v>
      </c>
      <c r="BB13" s="54">
        <v>24.436</v>
      </c>
      <c r="BC13" s="54">
        <f t="shared" si="22"/>
        <v>25.7075</v>
      </c>
      <c r="BD13" s="54">
        <f t="shared" si="23"/>
        <v>1.7981725445573897</v>
      </c>
      <c r="BE13" s="2">
        <v>24.9</v>
      </c>
      <c r="BF13" s="2">
        <v>25.5</v>
      </c>
      <c r="BG13" s="2">
        <v>25.4</v>
      </c>
      <c r="BH13" s="37">
        <f t="shared" si="24"/>
        <v>25.266666666666666</v>
      </c>
      <c r="BI13" s="2">
        <f t="shared" si="25"/>
        <v>0.32145502536643233</v>
      </c>
      <c r="BJ13" s="8">
        <v>0.69</v>
      </c>
      <c r="BK13" s="8">
        <v>0.67</v>
      </c>
      <c r="BL13" s="8">
        <v>0.66</v>
      </c>
      <c r="BM13" s="8">
        <f t="shared" si="26"/>
        <v>0.67333333333333334</v>
      </c>
      <c r="BN13" s="9">
        <f t="shared" si="27"/>
        <v>1.527525231651942E-2</v>
      </c>
      <c r="BO13" s="10">
        <v>81</v>
      </c>
      <c r="BP13" s="10">
        <v>85</v>
      </c>
      <c r="BQ13" s="10">
        <v>5</v>
      </c>
      <c r="BR13" s="10">
        <v>2</v>
      </c>
      <c r="BS13" s="10">
        <f t="shared" si="28"/>
        <v>92</v>
      </c>
      <c r="BT13" s="10">
        <v>8.61</v>
      </c>
      <c r="BU13" s="10">
        <v>2.89</v>
      </c>
      <c r="BV13" s="10">
        <v>6.94</v>
      </c>
      <c r="BW13" s="38">
        <v>45993</v>
      </c>
      <c r="BX13" s="3" t="s">
        <v>84</v>
      </c>
      <c r="BY13" s="16"/>
    </row>
    <row r="14" spans="2:77" ht="14.25" x14ac:dyDescent="0.2">
      <c r="B14" s="4">
        <v>8</v>
      </c>
      <c r="C14" s="3">
        <v>210</v>
      </c>
      <c r="D14" s="3">
        <v>100</v>
      </c>
      <c r="E14" s="3">
        <v>0.1</v>
      </c>
      <c r="F14" s="3">
        <v>30</v>
      </c>
      <c r="G14" s="3" t="s">
        <v>83</v>
      </c>
      <c r="H14" s="3">
        <v>30</v>
      </c>
      <c r="I14" s="2">
        <v>69.84</v>
      </c>
      <c r="J14" s="2">
        <v>69.849999999999994</v>
      </c>
      <c r="K14" s="2">
        <v>69.88</v>
      </c>
      <c r="L14" s="54">
        <f t="shared" si="4"/>
        <v>69.856666666666669</v>
      </c>
      <c r="M14" s="54">
        <f t="shared" si="5"/>
        <v>2.0816659994658326E-2</v>
      </c>
      <c r="N14" s="54">
        <f t="shared" si="6"/>
        <v>0.14333333333333087</v>
      </c>
      <c r="O14" s="3">
        <v>49.77</v>
      </c>
      <c r="P14" s="3">
        <v>49.79</v>
      </c>
      <c r="Q14" s="3">
        <v>49.81</v>
      </c>
      <c r="R14" s="54">
        <f t="shared" si="0"/>
        <v>49.79</v>
      </c>
      <c r="S14" s="54">
        <f t="shared" si="1"/>
        <v>1.9999999999999574E-2</v>
      </c>
      <c r="T14" s="54">
        <f t="shared" si="7"/>
        <v>0.21000000000000085</v>
      </c>
      <c r="U14" s="3">
        <v>5.08</v>
      </c>
      <c r="V14" s="3">
        <v>5.0999999999999996</v>
      </c>
      <c r="W14" s="3">
        <v>5.09</v>
      </c>
      <c r="X14" s="54">
        <f t="shared" si="2"/>
        <v>5.09</v>
      </c>
      <c r="Y14" s="54">
        <f t="shared" si="3"/>
        <v>9.9999999999997868E-3</v>
      </c>
      <c r="Z14" s="54">
        <f t="shared" si="8"/>
        <v>8.9999999999999858E-2</v>
      </c>
      <c r="AA14" s="50">
        <v>69.653000000000006</v>
      </c>
      <c r="AB14" s="50">
        <f t="shared" si="9"/>
        <v>0.3469999999999942</v>
      </c>
      <c r="AC14" s="50">
        <v>49.716999999999999</v>
      </c>
      <c r="AD14" s="50">
        <f t="shared" si="10"/>
        <v>0.28300000000000125</v>
      </c>
      <c r="AE14" s="50">
        <v>4.9973999999999998</v>
      </c>
      <c r="AF14" s="50">
        <f t="shared" si="11"/>
        <v>2.6000000000001577E-3</v>
      </c>
      <c r="AG14" s="54">
        <v>7.5469999999999997</v>
      </c>
      <c r="AH14" s="54">
        <v>8.0069999999999997</v>
      </c>
      <c r="AI14" s="54">
        <f t="shared" si="12"/>
        <v>7.7769999999999992</v>
      </c>
      <c r="AJ14" s="54">
        <f t="shared" si="13"/>
        <v>0.32526911934581182</v>
      </c>
      <c r="AK14" s="54">
        <v>7.0970000000000004</v>
      </c>
      <c r="AL14" s="54">
        <v>4.9359999999999999</v>
      </c>
      <c r="AM14" s="54">
        <f t="shared" si="14"/>
        <v>6.0165000000000006</v>
      </c>
      <c r="AN14" s="54">
        <f t="shared" si="15"/>
        <v>1.5280577541441271</v>
      </c>
      <c r="AO14" s="54">
        <v>10.977</v>
      </c>
      <c r="AP14" s="54">
        <v>11.411</v>
      </c>
      <c r="AQ14" s="54">
        <f t="shared" si="16"/>
        <v>11.193999999999999</v>
      </c>
      <c r="AR14" s="54">
        <f t="shared" si="17"/>
        <v>0.30688434303496109</v>
      </c>
      <c r="AS14" s="54">
        <v>9.6419999999999995</v>
      </c>
      <c r="AT14" s="54">
        <v>7.6219999999999999</v>
      </c>
      <c r="AU14" s="54">
        <f t="shared" si="18"/>
        <v>8.6319999999999997</v>
      </c>
      <c r="AV14" s="54">
        <f t="shared" si="19"/>
        <v>1.4283556979968255</v>
      </c>
      <c r="AW14" s="54">
        <v>46.542000000000002</v>
      </c>
      <c r="AX14" s="54">
        <v>47.402999999999999</v>
      </c>
      <c r="AY14" s="54">
        <f t="shared" si="20"/>
        <v>46.972499999999997</v>
      </c>
      <c r="AZ14" s="54">
        <f t="shared" si="21"/>
        <v>0.6088189386016154</v>
      </c>
      <c r="BA14" s="54">
        <v>47.942999999999998</v>
      </c>
      <c r="BB14" s="54">
        <v>39.828000000000003</v>
      </c>
      <c r="BC14" s="54">
        <f t="shared" si="22"/>
        <v>43.8855</v>
      </c>
      <c r="BD14" s="54">
        <f t="shared" si="23"/>
        <v>5.73817152932883</v>
      </c>
      <c r="BE14" s="2">
        <v>24.4</v>
      </c>
      <c r="BF14" s="2">
        <v>25.6</v>
      </c>
      <c r="BG14" s="2">
        <v>25.5</v>
      </c>
      <c r="BH14" s="37">
        <f t="shared" si="24"/>
        <v>25.166666666666668</v>
      </c>
      <c r="BI14" s="2">
        <f t="shared" si="25"/>
        <v>0.66583281184794052</v>
      </c>
      <c r="BJ14" s="8">
        <v>0.7</v>
      </c>
      <c r="BK14" s="8">
        <v>0.66</v>
      </c>
      <c r="BL14" s="8">
        <v>0.7</v>
      </c>
      <c r="BM14" s="8">
        <f t="shared" si="26"/>
        <v>0.68666666666666654</v>
      </c>
      <c r="BN14" s="9">
        <f t="shared" si="27"/>
        <v>2.3094010767584987E-2</v>
      </c>
      <c r="BO14" s="10">
        <v>113</v>
      </c>
      <c r="BP14" s="10">
        <v>117</v>
      </c>
      <c r="BQ14" s="10">
        <v>5</v>
      </c>
      <c r="BR14" s="10">
        <v>2</v>
      </c>
      <c r="BS14" s="10">
        <f t="shared" si="28"/>
        <v>124</v>
      </c>
      <c r="BT14" s="10">
        <v>11.67</v>
      </c>
      <c r="BU14" s="10">
        <v>3.91</v>
      </c>
      <c r="BV14" s="10">
        <v>9.41</v>
      </c>
      <c r="BW14" s="38">
        <v>45993</v>
      </c>
      <c r="BX14" s="3" t="s">
        <v>84</v>
      </c>
      <c r="BY14" s="16"/>
    </row>
    <row r="15" spans="2:77" ht="14.25" x14ac:dyDescent="0.2">
      <c r="B15" s="4">
        <v>9</v>
      </c>
      <c r="C15" s="3">
        <v>190</v>
      </c>
      <c r="D15" s="3">
        <v>100</v>
      </c>
      <c r="E15" s="3">
        <v>0.1</v>
      </c>
      <c r="F15" s="3">
        <v>120</v>
      </c>
      <c r="G15" s="3" t="s">
        <v>83</v>
      </c>
      <c r="H15" s="3">
        <v>30</v>
      </c>
      <c r="I15" s="2">
        <v>69.989999999999995</v>
      </c>
      <c r="J15" s="2">
        <v>69.959999999999994</v>
      </c>
      <c r="K15" s="2">
        <v>69.91</v>
      </c>
      <c r="L15" s="54">
        <f t="shared" si="4"/>
        <v>69.953333333333333</v>
      </c>
      <c r="M15" s="54">
        <f t="shared" si="5"/>
        <v>4.0414518843272795E-2</v>
      </c>
      <c r="N15" s="54">
        <f t="shared" si="6"/>
        <v>4.6666666666666856E-2</v>
      </c>
      <c r="O15" s="3">
        <v>49.93</v>
      </c>
      <c r="P15" s="3">
        <v>49.92</v>
      </c>
      <c r="Q15" s="3">
        <v>49.92</v>
      </c>
      <c r="R15" s="54">
        <f t="shared" si="0"/>
        <v>49.923333333333325</v>
      </c>
      <c r="S15" s="54">
        <f t="shared" si="1"/>
        <v>5.7735026918951087E-3</v>
      </c>
      <c r="T15" s="54">
        <f t="shared" si="7"/>
        <v>7.6666666666675098E-2</v>
      </c>
      <c r="U15" s="3">
        <v>5.1100000000000003</v>
      </c>
      <c r="V15" s="3">
        <v>5.12</v>
      </c>
      <c r="W15" s="3">
        <v>5.09</v>
      </c>
      <c r="X15" s="54">
        <f t="shared" si="2"/>
        <v>5.1066666666666665</v>
      </c>
      <c r="Y15" s="54">
        <f t="shared" si="3"/>
        <v>1.5275252316519626E-2</v>
      </c>
      <c r="Z15" s="54">
        <f t="shared" si="8"/>
        <v>0.10666666666666647</v>
      </c>
      <c r="AA15" s="50">
        <v>69.820599999999999</v>
      </c>
      <c r="AB15" s="50">
        <f t="shared" si="9"/>
        <v>0.17940000000000111</v>
      </c>
      <c r="AC15" s="50">
        <v>49.259799999999998</v>
      </c>
      <c r="AD15" s="50">
        <f t="shared" si="10"/>
        <v>0.74020000000000152</v>
      </c>
      <c r="AE15" s="50">
        <v>5.4104000000000001</v>
      </c>
      <c r="AF15" s="50">
        <f t="shared" si="11"/>
        <v>0.4104000000000001</v>
      </c>
      <c r="AG15" s="54">
        <v>3.5089999999999999</v>
      </c>
      <c r="AH15" s="54">
        <v>2.105</v>
      </c>
      <c r="AI15" s="54">
        <f t="shared" si="12"/>
        <v>2.8069999999999999</v>
      </c>
      <c r="AJ15" s="54">
        <f t="shared" si="13"/>
        <v>0.99277792078591232</v>
      </c>
      <c r="AK15" s="54">
        <v>3.2549999999999999</v>
      </c>
      <c r="AL15" s="54">
        <v>3.2040000000000002</v>
      </c>
      <c r="AM15" s="54">
        <f t="shared" si="14"/>
        <v>3.2294999999999998</v>
      </c>
      <c r="AN15" s="54">
        <f t="shared" si="15"/>
        <v>3.606244584051372E-2</v>
      </c>
      <c r="AO15" s="54">
        <v>4.9329999999999998</v>
      </c>
      <c r="AP15" s="54">
        <v>3.2589999999999999</v>
      </c>
      <c r="AQ15" s="54">
        <f t="shared" si="16"/>
        <v>4.0960000000000001</v>
      </c>
      <c r="AR15" s="54">
        <f t="shared" si="17"/>
        <v>1.1836967517062789</v>
      </c>
      <c r="AS15" s="54">
        <v>4.2590000000000003</v>
      </c>
      <c r="AT15" s="54">
        <v>4.2770000000000001</v>
      </c>
      <c r="AU15" s="54">
        <f t="shared" si="18"/>
        <v>4.2680000000000007</v>
      </c>
      <c r="AV15" s="54">
        <f t="shared" si="19"/>
        <v>1.272792206135771E-2</v>
      </c>
      <c r="AW15" s="54">
        <v>27.274999999999999</v>
      </c>
      <c r="AX15" s="54">
        <v>21.08</v>
      </c>
      <c r="AY15" s="54">
        <f t="shared" si="20"/>
        <v>24.177499999999998</v>
      </c>
      <c r="AZ15" s="54">
        <f t="shared" si="21"/>
        <v>4.3805265094506867</v>
      </c>
      <c r="BA15" s="54">
        <v>27.863</v>
      </c>
      <c r="BB15" s="54">
        <v>27.576000000000001</v>
      </c>
      <c r="BC15" s="54">
        <f t="shared" si="22"/>
        <v>27.7195</v>
      </c>
      <c r="BD15" s="54">
        <f t="shared" si="23"/>
        <v>0.20293964620053845</v>
      </c>
      <c r="BE15" s="2">
        <v>25.5</v>
      </c>
      <c r="BF15" s="2">
        <v>25.5</v>
      </c>
      <c r="BG15" s="2">
        <v>25.4</v>
      </c>
      <c r="BH15" s="37">
        <f t="shared" si="24"/>
        <v>25.466666666666669</v>
      </c>
      <c r="BI15" s="2">
        <f t="shared" si="25"/>
        <v>5.77350269189634E-2</v>
      </c>
      <c r="BJ15" s="8">
        <v>0.7</v>
      </c>
      <c r="BK15" s="8">
        <v>0.67</v>
      </c>
      <c r="BL15" s="8">
        <v>0.66</v>
      </c>
      <c r="BM15" s="8">
        <f t="shared" si="26"/>
        <v>0.67666666666666675</v>
      </c>
      <c r="BN15" s="9">
        <f t="shared" si="27"/>
        <v>2.0816659994661285E-2</v>
      </c>
      <c r="BO15" s="10">
        <v>34</v>
      </c>
      <c r="BP15" s="10">
        <v>37</v>
      </c>
      <c r="BQ15" s="10">
        <v>5</v>
      </c>
      <c r="BR15" s="10">
        <v>2</v>
      </c>
      <c r="BS15" s="10">
        <f t="shared" si="28"/>
        <v>44</v>
      </c>
      <c r="BT15" s="10">
        <v>11.67</v>
      </c>
      <c r="BU15" s="10">
        <v>3.91</v>
      </c>
      <c r="BV15" s="10">
        <v>9.41</v>
      </c>
      <c r="BW15" s="38">
        <v>45993</v>
      </c>
      <c r="BX15" s="3" t="s">
        <v>84</v>
      </c>
      <c r="BY15" s="16"/>
    </row>
    <row r="16" spans="2:77" ht="14.25" x14ac:dyDescent="0.2">
      <c r="B16" s="4">
        <v>10</v>
      </c>
      <c r="C16" s="3">
        <v>190</v>
      </c>
      <c r="D16" s="3">
        <v>100</v>
      </c>
      <c r="E16" s="3">
        <v>0.1</v>
      </c>
      <c r="F16" s="3">
        <v>30</v>
      </c>
      <c r="G16" s="3" t="s">
        <v>86</v>
      </c>
      <c r="H16" s="3">
        <v>10</v>
      </c>
      <c r="I16" s="2">
        <v>69.84</v>
      </c>
      <c r="J16" s="2">
        <v>69.86</v>
      </c>
      <c r="K16" s="2">
        <v>69.849999999999994</v>
      </c>
      <c r="L16" s="54">
        <f t="shared" si="4"/>
        <v>69.849999999999994</v>
      </c>
      <c r="M16" s="54">
        <f t="shared" si="5"/>
        <v>9.9999999999980105E-3</v>
      </c>
      <c r="N16" s="54">
        <f t="shared" si="6"/>
        <v>0.15000000000000568</v>
      </c>
      <c r="O16" s="3">
        <v>49.82</v>
      </c>
      <c r="P16" s="3">
        <v>49.79</v>
      </c>
      <c r="Q16" s="3">
        <v>49.78</v>
      </c>
      <c r="R16" s="54">
        <f t="shared" si="0"/>
        <v>49.79666666666666</v>
      </c>
      <c r="S16" s="54">
        <f t="shared" si="1"/>
        <v>2.0816659994661167E-2</v>
      </c>
      <c r="T16" s="54">
        <f t="shared" si="7"/>
        <v>0.20333333333334025</v>
      </c>
      <c r="U16" s="3">
        <v>5.04</v>
      </c>
      <c r="V16" s="3">
        <v>5.05</v>
      </c>
      <c r="W16" s="3">
        <v>5.03</v>
      </c>
      <c r="X16" s="54">
        <f t="shared" si="2"/>
        <v>5.04</v>
      </c>
      <c r="Y16" s="54">
        <f t="shared" si="3"/>
        <v>9.9999999999997868E-3</v>
      </c>
      <c r="Z16" s="54">
        <f t="shared" si="8"/>
        <v>4.0000000000000036E-2</v>
      </c>
      <c r="AA16" s="50">
        <v>70.021100000000004</v>
      </c>
      <c r="AB16" s="50">
        <f t="shared" si="9"/>
        <v>2.1100000000004115E-2</v>
      </c>
      <c r="AC16" s="50">
        <v>49.248699999999999</v>
      </c>
      <c r="AD16" s="50">
        <f t="shared" si="10"/>
        <v>0.75130000000000052</v>
      </c>
      <c r="AE16" s="50">
        <v>4.7847999999999997</v>
      </c>
      <c r="AF16" s="50">
        <f t="shared" si="11"/>
        <v>0.21520000000000028</v>
      </c>
      <c r="AG16" s="54">
        <v>2.4060000000000001</v>
      </c>
      <c r="AH16" s="54">
        <v>2.5219999999999998</v>
      </c>
      <c r="AI16" s="54">
        <f t="shared" si="12"/>
        <v>2.464</v>
      </c>
      <c r="AJ16" s="54">
        <f t="shared" si="13"/>
        <v>8.2024386617639278E-2</v>
      </c>
      <c r="AK16" s="54">
        <v>2.4620000000000002</v>
      </c>
      <c r="AL16" s="54">
        <v>3.0590000000000002</v>
      </c>
      <c r="AM16" s="54">
        <f t="shared" si="14"/>
        <v>2.7605000000000004</v>
      </c>
      <c r="AN16" s="54">
        <f t="shared" si="15"/>
        <v>0.42214274836836635</v>
      </c>
      <c r="AO16" s="54">
        <v>3.5169999999999999</v>
      </c>
      <c r="AP16" s="54">
        <v>4.2229999999999999</v>
      </c>
      <c r="AQ16" s="54">
        <f t="shared" si="16"/>
        <v>3.87</v>
      </c>
      <c r="AR16" s="54">
        <f t="shared" si="17"/>
        <v>0.4992173875177025</v>
      </c>
      <c r="AS16" s="54">
        <v>3.1880000000000002</v>
      </c>
      <c r="AT16" s="54">
        <v>3.891</v>
      </c>
      <c r="AU16" s="54">
        <f t="shared" si="18"/>
        <v>3.5395000000000003</v>
      </c>
      <c r="AV16" s="54">
        <f t="shared" si="19"/>
        <v>0.49709606717414279</v>
      </c>
      <c r="AW16" s="54">
        <v>19.625</v>
      </c>
      <c r="AX16" s="54">
        <v>22.052</v>
      </c>
      <c r="AY16" s="54">
        <f t="shared" si="20"/>
        <v>20.8385</v>
      </c>
      <c r="AZ16" s="54">
        <f t="shared" si="21"/>
        <v>1.7161481579397506</v>
      </c>
      <c r="BA16" s="54">
        <v>21.797000000000001</v>
      </c>
      <c r="BB16" s="54">
        <v>22.699000000000002</v>
      </c>
      <c r="BC16" s="54">
        <f t="shared" si="22"/>
        <v>22.248000000000001</v>
      </c>
      <c r="BD16" s="54">
        <f t="shared" si="23"/>
        <v>0.63781031663026655</v>
      </c>
      <c r="BE16" s="2">
        <v>25.4</v>
      </c>
      <c r="BF16" s="2">
        <v>25.5</v>
      </c>
      <c r="BG16" s="2">
        <v>25.7</v>
      </c>
      <c r="BH16" s="37">
        <f t="shared" si="24"/>
        <v>25.533333333333331</v>
      </c>
      <c r="BI16" s="2">
        <f t="shared" si="25"/>
        <v>0.15275252316519489</v>
      </c>
      <c r="BJ16" s="8">
        <v>0.67</v>
      </c>
      <c r="BK16" s="8">
        <v>0.66</v>
      </c>
      <c r="BL16" s="8">
        <v>0.65</v>
      </c>
      <c r="BM16" s="8">
        <f t="shared" si="26"/>
        <v>0.66</v>
      </c>
      <c r="BN16" s="9">
        <f t="shared" si="27"/>
        <v>1.0000000000000009E-2</v>
      </c>
      <c r="BO16" s="10">
        <v>81</v>
      </c>
      <c r="BP16" s="10">
        <v>83</v>
      </c>
      <c r="BQ16" s="10">
        <v>5</v>
      </c>
      <c r="BR16" s="10">
        <v>2</v>
      </c>
      <c r="BS16" s="10">
        <f t="shared" si="28"/>
        <v>90</v>
      </c>
      <c r="BT16" s="10">
        <v>8.61</v>
      </c>
      <c r="BU16" s="10">
        <v>2.89</v>
      </c>
      <c r="BV16" s="10">
        <v>6.94</v>
      </c>
      <c r="BW16" s="38">
        <v>45993</v>
      </c>
      <c r="BX16" s="3" t="s">
        <v>84</v>
      </c>
      <c r="BY16" s="16"/>
    </row>
    <row r="17" spans="2:77" ht="14.25" x14ac:dyDescent="0.2">
      <c r="B17" s="4">
        <v>11</v>
      </c>
      <c r="C17" s="3">
        <v>190</v>
      </c>
      <c r="D17" s="3">
        <v>200</v>
      </c>
      <c r="E17" s="3">
        <v>0.2</v>
      </c>
      <c r="F17" s="3">
        <v>120</v>
      </c>
      <c r="G17" s="3" t="s">
        <v>83</v>
      </c>
      <c r="H17" s="3">
        <v>30</v>
      </c>
      <c r="I17" s="2">
        <v>69.7</v>
      </c>
      <c r="J17" s="2">
        <v>69.72</v>
      </c>
      <c r="K17" s="2">
        <v>69.72</v>
      </c>
      <c r="L17" s="54">
        <f t="shared" si="4"/>
        <v>69.713333333333338</v>
      </c>
      <c r="M17" s="54">
        <f t="shared" si="5"/>
        <v>1.1547005383790217E-2</v>
      </c>
      <c r="N17" s="54">
        <f t="shared" si="6"/>
        <v>0.28666666666666174</v>
      </c>
      <c r="O17" s="3">
        <v>49.82</v>
      </c>
      <c r="P17" s="3">
        <v>49.76</v>
      </c>
      <c r="Q17" s="3">
        <v>49.81</v>
      </c>
      <c r="R17" s="54">
        <f t="shared" si="0"/>
        <v>49.79666666666666</v>
      </c>
      <c r="S17" s="54">
        <f t="shared" si="1"/>
        <v>3.2145502536644895E-2</v>
      </c>
      <c r="T17" s="54">
        <f t="shared" si="7"/>
        <v>0.20333333333334025</v>
      </c>
      <c r="U17" s="3">
        <v>5.04</v>
      </c>
      <c r="V17" s="3">
        <v>5.04</v>
      </c>
      <c r="W17" s="3">
        <v>5.03</v>
      </c>
      <c r="X17" s="54">
        <f t="shared" si="2"/>
        <v>5.0366666666666662</v>
      </c>
      <c r="Y17" s="54">
        <f t="shared" si="3"/>
        <v>5.7735026918961348E-3</v>
      </c>
      <c r="Z17" s="54">
        <f t="shared" si="8"/>
        <v>3.6666666666666181E-2</v>
      </c>
      <c r="AA17" s="50">
        <v>69.596400000000003</v>
      </c>
      <c r="AB17" s="50">
        <f t="shared" si="9"/>
        <v>0.40359999999999729</v>
      </c>
      <c r="AC17" s="50">
        <v>49.266599999999997</v>
      </c>
      <c r="AD17" s="50">
        <f t="shared" si="10"/>
        <v>0.73340000000000316</v>
      </c>
      <c r="AE17" s="50">
        <v>4.8254000000000001</v>
      </c>
      <c r="AF17" s="50">
        <f t="shared" si="11"/>
        <v>0.17459999999999987</v>
      </c>
      <c r="AG17" s="54">
        <v>5.9790000000000001</v>
      </c>
      <c r="AH17" s="54">
        <v>6.2249999999999996</v>
      </c>
      <c r="AI17" s="54">
        <f t="shared" si="12"/>
        <v>6.1020000000000003</v>
      </c>
      <c r="AJ17" s="54">
        <f t="shared" si="13"/>
        <v>0.17394826817189038</v>
      </c>
      <c r="AK17" s="54">
        <v>6.452</v>
      </c>
      <c r="AL17" s="54">
        <v>7.6260000000000003</v>
      </c>
      <c r="AM17" s="54">
        <f t="shared" si="14"/>
        <v>7.0389999999999997</v>
      </c>
      <c r="AN17" s="54">
        <f t="shared" si="15"/>
        <v>0.83014336111300713</v>
      </c>
      <c r="AO17" s="54">
        <v>7.4450000000000003</v>
      </c>
      <c r="AP17" s="54">
        <v>7.0380000000000003</v>
      </c>
      <c r="AQ17" s="54">
        <f t="shared" si="16"/>
        <v>7.2415000000000003</v>
      </c>
      <c r="AR17" s="54">
        <f t="shared" si="17"/>
        <v>0.28779245994292485</v>
      </c>
      <c r="AS17" s="54">
        <v>7.5910000000000002</v>
      </c>
      <c r="AT17" s="54">
        <v>9.4559999999999995</v>
      </c>
      <c r="AU17" s="54">
        <f t="shared" si="18"/>
        <v>8.5235000000000003</v>
      </c>
      <c r="AV17" s="54">
        <f t="shared" si="19"/>
        <v>1.3187541469129129</v>
      </c>
      <c r="AW17" s="54">
        <v>29.954000000000001</v>
      </c>
      <c r="AX17" s="54">
        <v>25.048999999999999</v>
      </c>
      <c r="AY17" s="54">
        <f t="shared" si="20"/>
        <v>27.5015</v>
      </c>
      <c r="AZ17" s="54">
        <f t="shared" si="21"/>
        <v>3.4683587617200167</v>
      </c>
      <c r="BA17" s="54">
        <v>30.641999999999999</v>
      </c>
      <c r="BB17" s="54">
        <v>39.152999999999999</v>
      </c>
      <c r="BC17" s="54">
        <f t="shared" si="22"/>
        <v>34.897500000000001</v>
      </c>
      <c r="BD17" s="54">
        <f t="shared" si="23"/>
        <v>6.0181858146787031</v>
      </c>
      <c r="BE17" s="2">
        <v>25.7</v>
      </c>
      <c r="BF17" s="2">
        <v>25.4</v>
      </c>
      <c r="BG17" s="2">
        <v>25.5</v>
      </c>
      <c r="BH17" s="37">
        <f t="shared" si="24"/>
        <v>25.533333333333331</v>
      </c>
      <c r="BI17" s="2">
        <f t="shared" si="25"/>
        <v>0.15275252316519489</v>
      </c>
      <c r="BJ17" s="8">
        <v>0.67</v>
      </c>
      <c r="BK17" s="8">
        <v>0.65</v>
      </c>
      <c r="BL17" s="8">
        <v>0.65</v>
      </c>
      <c r="BM17" s="8">
        <f t="shared" si="26"/>
        <v>0.65666666666666673</v>
      </c>
      <c r="BN17" s="9">
        <f t="shared" si="27"/>
        <v>1.1547005383792525E-2</v>
      </c>
      <c r="BO17" s="10">
        <v>21</v>
      </c>
      <c r="BP17" s="10">
        <v>25</v>
      </c>
      <c r="BQ17" s="10">
        <v>5</v>
      </c>
      <c r="BR17" s="10">
        <v>2</v>
      </c>
      <c r="BS17" s="10">
        <f t="shared" si="28"/>
        <v>32</v>
      </c>
      <c r="BT17" s="10">
        <v>13.03</v>
      </c>
      <c r="BU17" s="10">
        <v>4.37</v>
      </c>
      <c r="BV17" s="10">
        <v>10.51</v>
      </c>
      <c r="BW17" s="38">
        <v>45993</v>
      </c>
      <c r="BX17" s="3" t="s">
        <v>84</v>
      </c>
      <c r="BY17" s="16"/>
    </row>
    <row r="18" spans="2:77" ht="14.25" x14ac:dyDescent="0.2">
      <c r="B18" s="4">
        <v>12</v>
      </c>
      <c r="C18" s="3">
        <v>200</v>
      </c>
      <c r="D18" s="3">
        <v>150</v>
      </c>
      <c r="E18" s="3">
        <v>0.15</v>
      </c>
      <c r="F18" s="3">
        <v>120</v>
      </c>
      <c r="G18" s="3" t="s">
        <v>85</v>
      </c>
      <c r="H18" s="3">
        <v>20</v>
      </c>
      <c r="I18" s="2">
        <v>69.760000000000005</v>
      </c>
      <c r="J18" s="2">
        <v>69.760000000000005</v>
      </c>
      <c r="K18" s="2">
        <v>69.819999999999993</v>
      </c>
      <c r="L18" s="54">
        <f t="shared" si="4"/>
        <v>69.78</v>
      </c>
      <c r="M18" s="54">
        <f t="shared" si="5"/>
        <v>3.4641016151370656E-2</v>
      </c>
      <c r="N18" s="54">
        <f t="shared" si="6"/>
        <v>0.21999999999999886</v>
      </c>
      <c r="O18" s="3">
        <v>49.69</v>
      </c>
      <c r="P18" s="3">
        <v>49.71</v>
      </c>
      <c r="Q18" s="3">
        <v>49.7</v>
      </c>
      <c r="R18" s="54">
        <f t="shared" si="0"/>
        <v>49.70000000000001</v>
      </c>
      <c r="S18" s="54">
        <f t="shared" si="1"/>
        <v>1.0000000000001563E-2</v>
      </c>
      <c r="T18" s="54">
        <f t="shared" si="7"/>
        <v>0.29999999999999005</v>
      </c>
      <c r="U18" s="3">
        <v>5.08</v>
      </c>
      <c r="V18" s="3">
        <v>5.08</v>
      </c>
      <c r="W18" s="3">
        <v>5.09</v>
      </c>
      <c r="X18" s="54">
        <f t="shared" si="2"/>
        <v>5.083333333333333</v>
      </c>
      <c r="Y18" s="54">
        <f t="shared" si="3"/>
        <v>5.7735026918961348E-3</v>
      </c>
      <c r="Z18" s="54">
        <f t="shared" si="8"/>
        <v>8.3333333333333037E-2</v>
      </c>
      <c r="AA18" s="50">
        <v>69.725800000000007</v>
      </c>
      <c r="AB18" s="50">
        <f t="shared" si="9"/>
        <v>0.27419999999999334</v>
      </c>
      <c r="AC18" s="50">
        <v>49.354599999999998</v>
      </c>
      <c r="AD18" s="50">
        <f t="shared" si="10"/>
        <v>0.64540000000000219</v>
      </c>
      <c r="AE18" s="50">
        <v>5.2880000000000003</v>
      </c>
      <c r="AF18" s="50">
        <f t="shared" si="11"/>
        <v>0.28800000000000026</v>
      </c>
      <c r="AG18" s="54">
        <v>7.1520000000000001</v>
      </c>
      <c r="AH18" s="54">
        <v>6.4020000000000001</v>
      </c>
      <c r="AI18" s="54">
        <f t="shared" si="12"/>
        <v>6.7770000000000001</v>
      </c>
      <c r="AJ18" s="54">
        <f t="shared" si="13"/>
        <v>0.5303300858899106</v>
      </c>
      <c r="AK18" s="54">
        <v>8.0779999999999994</v>
      </c>
      <c r="AL18" s="54">
        <v>8.3840000000000003</v>
      </c>
      <c r="AM18" s="54">
        <f t="shared" si="14"/>
        <v>8.2309999999999999</v>
      </c>
      <c r="AN18" s="54">
        <f t="shared" si="15"/>
        <v>0.21637467504308422</v>
      </c>
      <c r="AO18" s="54">
        <v>8.6639999999999997</v>
      </c>
      <c r="AP18" s="54">
        <v>8.4190000000000005</v>
      </c>
      <c r="AQ18" s="54">
        <f t="shared" si="16"/>
        <v>8.5414999999999992</v>
      </c>
      <c r="AR18" s="54">
        <f t="shared" si="17"/>
        <v>0.17324116139070359</v>
      </c>
      <c r="AS18" s="54">
        <v>9.8379999999999992</v>
      </c>
      <c r="AT18" s="54">
        <v>10.382999999999999</v>
      </c>
      <c r="AU18" s="54">
        <f t="shared" si="18"/>
        <v>10.110499999999998</v>
      </c>
      <c r="AV18" s="54">
        <f t="shared" si="19"/>
        <v>0.38537319574666834</v>
      </c>
      <c r="AW18" s="54">
        <v>36.546999999999997</v>
      </c>
      <c r="AX18" s="54">
        <v>37.366</v>
      </c>
      <c r="AY18" s="54">
        <f t="shared" si="20"/>
        <v>36.956499999999998</v>
      </c>
      <c r="AZ18" s="54">
        <f t="shared" si="21"/>
        <v>0.57912045379178423</v>
      </c>
      <c r="BA18" s="54">
        <v>45.192</v>
      </c>
      <c r="BB18" s="54">
        <v>43.079000000000001</v>
      </c>
      <c r="BC18" s="54">
        <f t="shared" si="22"/>
        <v>44.1355</v>
      </c>
      <c r="BD18" s="54">
        <f t="shared" si="23"/>
        <v>1.4941166286471745</v>
      </c>
      <c r="BE18" s="2">
        <v>25.4</v>
      </c>
      <c r="BF18" s="2">
        <v>25.5</v>
      </c>
      <c r="BG18" s="2">
        <v>25.6</v>
      </c>
      <c r="BH18" s="37">
        <f t="shared" si="24"/>
        <v>25.5</v>
      </c>
      <c r="BI18" s="2">
        <f t="shared" si="25"/>
        <v>0.10000000000000142</v>
      </c>
      <c r="BJ18" s="8">
        <v>0.67</v>
      </c>
      <c r="BK18" s="8">
        <v>0.67</v>
      </c>
      <c r="BL18" s="8">
        <v>0.67</v>
      </c>
      <c r="BM18" s="8">
        <f t="shared" si="26"/>
        <v>0.67</v>
      </c>
      <c r="BN18" s="9">
        <f t="shared" si="27"/>
        <v>0</v>
      </c>
      <c r="BO18" s="10">
        <v>22</v>
      </c>
      <c r="BP18" s="10">
        <v>25</v>
      </c>
      <c r="BQ18" s="10">
        <v>5</v>
      </c>
      <c r="BR18" s="10">
        <v>2</v>
      </c>
      <c r="BS18" s="10">
        <f t="shared" si="28"/>
        <v>32</v>
      </c>
      <c r="BT18" s="10">
        <v>10.39</v>
      </c>
      <c r="BU18" s="10">
        <v>3.48</v>
      </c>
      <c r="BV18" s="10">
        <v>8.3800000000000008</v>
      </c>
      <c r="BW18" s="38">
        <v>45993</v>
      </c>
      <c r="BX18" s="3" t="s">
        <v>84</v>
      </c>
      <c r="BY18" s="16"/>
    </row>
    <row r="19" spans="2:77" ht="14.25" x14ac:dyDescent="0.2">
      <c r="B19" s="4">
        <v>13</v>
      </c>
      <c r="C19" s="3">
        <v>210</v>
      </c>
      <c r="D19" s="3">
        <v>150</v>
      </c>
      <c r="E19" s="3">
        <v>0.15</v>
      </c>
      <c r="F19" s="3">
        <v>75</v>
      </c>
      <c r="G19" s="3" t="s">
        <v>85</v>
      </c>
      <c r="H19" s="3">
        <v>20</v>
      </c>
      <c r="I19" s="2">
        <v>69.790000000000006</v>
      </c>
      <c r="J19" s="2">
        <v>69.78</v>
      </c>
      <c r="K19" s="2">
        <v>69.75</v>
      </c>
      <c r="L19" s="54">
        <f t="shared" si="4"/>
        <v>69.773333333333326</v>
      </c>
      <c r="M19" s="54">
        <f t="shared" si="5"/>
        <v>2.0816659994664012E-2</v>
      </c>
      <c r="N19" s="54">
        <f t="shared" si="6"/>
        <v>0.22666666666667368</v>
      </c>
      <c r="O19" s="3">
        <v>49.75</v>
      </c>
      <c r="P19" s="3">
        <v>49.73</v>
      </c>
      <c r="Q19" s="3">
        <v>49.75</v>
      </c>
      <c r="R19" s="54">
        <f t="shared" si="0"/>
        <v>49.743333333333332</v>
      </c>
      <c r="S19" s="54">
        <f t="shared" si="1"/>
        <v>1.154700538379432E-2</v>
      </c>
      <c r="T19" s="54">
        <f t="shared" si="7"/>
        <v>0.25666666666666771</v>
      </c>
      <c r="U19" s="3">
        <v>5.01</v>
      </c>
      <c r="V19" s="3">
        <v>5.04</v>
      </c>
      <c r="W19" s="3">
        <v>5.0199999999999996</v>
      </c>
      <c r="X19" s="54">
        <f t="shared" si="2"/>
        <v>5.0233333333333334</v>
      </c>
      <c r="Y19" s="54">
        <f t="shared" si="3"/>
        <v>1.5275252316519626E-2</v>
      </c>
      <c r="Z19" s="54">
        <f t="shared" si="8"/>
        <v>2.3333333333333428E-2</v>
      </c>
      <c r="AA19" s="50">
        <v>70.137100000000004</v>
      </c>
      <c r="AB19" s="50">
        <f t="shared" si="9"/>
        <v>0.13710000000000377</v>
      </c>
      <c r="AC19" s="50">
        <v>49.377800000000001</v>
      </c>
      <c r="AD19" s="50">
        <f t="shared" si="10"/>
        <v>0.62219999999999942</v>
      </c>
      <c r="AE19" s="50">
        <v>5.6471</v>
      </c>
      <c r="AF19" s="50">
        <f t="shared" si="11"/>
        <v>0.64710000000000001</v>
      </c>
      <c r="AG19" s="54">
        <v>6.1040000000000001</v>
      </c>
      <c r="AH19" s="54">
        <v>5.2990000000000004</v>
      </c>
      <c r="AI19" s="54">
        <f t="shared" si="12"/>
        <v>5.7015000000000002</v>
      </c>
      <c r="AJ19" s="54">
        <f t="shared" si="13"/>
        <v>0.56922095885517054</v>
      </c>
      <c r="AK19" s="54">
        <v>8.3049999999999997</v>
      </c>
      <c r="AL19" s="54">
        <v>7.617</v>
      </c>
      <c r="AM19" s="54">
        <f t="shared" si="14"/>
        <v>7.9610000000000003</v>
      </c>
      <c r="AN19" s="54">
        <f t="shared" si="15"/>
        <v>0.48648946545634447</v>
      </c>
      <c r="AO19" s="54">
        <v>9.1630000000000003</v>
      </c>
      <c r="AP19" s="54">
        <v>8.0440000000000005</v>
      </c>
      <c r="AQ19" s="54">
        <f t="shared" si="16"/>
        <v>8.6035000000000004</v>
      </c>
      <c r="AR19" s="54">
        <f t="shared" si="17"/>
        <v>0.79125248814774651</v>
      </c>
      <c r="AS19" s="54">
        <v>11.898</v>
      </c>
      <c r="AT19" s="54">
        <v>10.877000000000001</v>
      </c>
      <c r="AU19" s="54">
        <f t="shared" si="18"/>
        <v>11.387499999999999</v>
      </c>
      <c r="AV19" s="54">
        <f t="shared" si="19"/>
        <v>0.72195602359146427</v>
      </c>
      <c r="AW19" s="54">
        <v>48.024999999999999</v>
      </c>
      <c r="AX19" s="54">
        <v>40.512</v>
      </c>
      <c r="AY19" s="54">
        <f t="shared" si="20"/>
        <v>44.268500000000003</v>
      </c>
      <c r="AZ19" s="54">
        <f t="shared" si="21"/>
        <v>5.3124932470545305</v>
      </c>
      <c r="BA19" s="54">
        <v>66.625</v>
      </c>
      <c r="BB19" s="54">
        <v>61.27</v>
      </c>
      <c r="BC19" s="54">
        <f t="shared" si="22"/>
        <v>63.947500000000005</v>
      </c>
      <c r="BD19" s="54">
        <f t="shared" si="23"/>
        <v>3.7865568132539598</v>
      </c>
      <c r="BE19" s="2">
        <v>25.5</v>
      </c>
      <c r="BF19" s="2">
        <v>25.7</v>
      </c>
      <c r="BG19" s="2">
        <v>25.8</v>
      </c>
      <c r="BH19" s="37">
        <f t="shared" si="24"/>
        <v>25.666666666666668</v>
      </c>
      <c r="BI19" s="2">
        <f t="shared" si="25"/>
        <v>0.15275252316519491</v>
      </c>
      <c r="BJ19" s="8">
        <v>0.67</v>
      </c>
      <c r="BK19" s="8">
        <v>0.67</v>
      </c>
      <c r="BL19" s="8">
        <v>0.66</v>
      </c>
      <c r="BM19" s="8">
        <f t="shared" si="26"/>
        <v>0.66666666666666663</v>
      </c>
      <c r="BN19" s="9">
        <f t="shared" si="27"/>
        <v>5.7735026918962632E-3</v>
      </c>
      <c r="BO19" s="10">
        <v>30</v>
      </c>
      <c r="BP19" s="10">
        <v>34</v>
      </c>
      <c r="BQ19" s="10">
        <v>5</v>
      </c>
      <c r="BR19" s="10">
        <v>2</v>
      </c>
      <c r="BS19" s="10">
        <f t="shared" si="28"/>
        <v>41</v>
      </c>
      <c r="BT19" s="10">
        <v>10.39</v>
      </c>
      <c r="BU19" s="10">
        <v>3.48</v>
      </c>
      <c r="BV19" s="10">
        <v>8.3800000000000008</v>
      </c>
      <c r="BW19" s="38">
        <v>45993</v>
      </c>
      <c r="BX19" s="3" t="s">
        <v>84</v>
      </c>
      <c r="BY19" s="16"/>
    </row>
    <row r="20" spans="2:77" ht="14.25" x14ac:dyDescent="0.2">
      <c r="B20" s="4">
        <v>14</v>
      </c>
      <c r="C20" s="3">
        <v>210</v>
      </c>
      <c r="D20" s="3">
        <v>100</v>
      </c>
      <c r="E20" s="3">
        <v>0.1</v>
      </c>
      <c r="F20" s="3">
        <v>120</v>
      </c>
      <c r="G20" s="3" t="s">
        <v>86</v>
      </c>
      <c r="H20" s="3">
        <v>10</v>
      </c>
      <c r="I20" s="2">
        <v>69.760000000000005</v>
      </c>
      <c r="J20" s="2">
        <v>69.84</v>
      </c>
      <c r="K20" s="2">
        <v>69.8</v>
      </c>
      <c r="L20" s="54">
        <f t="shared" si="4"/>
        <v>69.800000000000011</v>
      </c>
      <c r="M20" s="54">
        <f t="shared" si="5"/>
        <v>3.9999999999999147E-2</v>
      </c>
      <c r="N20" s="54">
        <f t="shared" si="6"/>
        <v>0.19999999999998863</v>
      </c>
      <c r="O20" s="3">
        <v>49.73</v>
      </c>
      <c r="P20" s="3">
        <v>49.76</v>
      </c>
      <c r="Q20" s="3">
        <v>49.74</v>
      </c>
      <c r="R20" s="54">
        <f t="shared" si="0"/>
        <v>49.743333333333332</v>
      </c>
      <c r="S20" s="54">
        <f t="shared" si="1"/>
        <v>1.5275252316519527E-2</v>
      </c>
      <c r="T20" s="54">
        <f t="shared" si="7"/>
        <v>0.25666666666666771</v>
      </c>
      <c r="U20" s="3">
        <v>5</v>
      </c>
      <c r="V20" s="3">
        <v>5.0199999999999996</v>
      </c>
      <c r="W20" s="3">
        <v>5.0199999999999996</v>
      </c>
      <c r="X20" s="54">
        <f t="shared" si="2"/>
        <v>5.0133333333333328</v>
      </c>
      <c r="Y20" s="54">
        <f t="shared" si="3"/>
        <v>1.154700538379227E-2</v>
      </c>
      <c r="Z20" s="54">
        <f t="shared" si="8"/>
        <v>1.3333333333332753E-2</v>
      </c>
      <c r="AA20" s="50">
        <v>69.735699999999994</v>
      </c>
      <c r="AB20" s="50">
        <f t="shared" si="9"/>
        <v>0.26430000000000575</v>
      </c>
      <c r="AC20" s="50">
        <v>49.584499999999998</v>
      </c>
      <c r="AD20" s="50">
        <f t="shared" si="10"/>
        <v>0.41550000000000153</v>
      </c>
      <c r="AE20" s="50">
        <v>5.0343</v>
      </c>
      <c r="AF20" s="50">
        <f t="shared" si="11"/>
        <v>3.4299999999999997E-2</v>
      </c>
      <c r="AG20" s="54">
        <v>5.09</v>
      </c>
      <c r="AH20" s="54">
        <v>3.5059999999999998</v>
      </c>
      <c r="AI20" s="54">
        <f t="shared" si="12"/>
        <v>4.298</v>
      </c>
      <c r="AJ20" s="54">
        <f t="shared" si="13"/>
        <v>1.1200571413994884</v>
      </c>
      <c r="AK20" s="54">
        <v>4.1589999999999998</v>
      </c>
      <c r="AL20" s="54">
        <v>4.2809999999999997</v>
      </c>
      <c r="AM20" s="54">
        <f t="shared" si="14"/>
        <v>4.22</v>
      </c>
      <c r="AN20" s="54">
        <f t="shared" si="15"/>
        <v>8.6267027304758714E-2</v>
      </c>
      <c r="AO20" s="54">
        <v>7.5640000000000001</v>
      </c>
      <c r="AP20" s="54">
        <v>5.56</v>
      </c>
      <c r="AQ20" s="54">
        <f t="shared" si="16"/>
        <v>6.5619999999999994</v>
      </c>
      <c r="AR20" s="54">
        <f t="shared" si="17"/>
        <v>1.4170419894978425</v>
      </c>
      <c r="AS20" s="54">
        <v>5.806</v>
      </c>
      <c r="AT20" s="54">
        <v>5.7350000000000003</v>
      </c>
      <c r="AU20" s="54">
        <f t="shared" si="18"/>
        <v>5.7705000000000002</v>
      </c>
      <c r="AV20" s="54">
        <f t="shared" si="19"/>
        <v>5.0204581464244682E-2</v>
      </c>
      <c r="AW20" s="54">
        <v>41.104999999999997</v>
      </c>
      <c r="AX20" s="54">
        <v>30.39</v>
      </c>
      <c r="AY20" s="54">
        <f t="shared" si="20"/>
        <v>35.747500000000002</v>
      </c>
      <c r="AZ20" s="54">
        <f t="shared" si="21"/>
        <v>7.5766491604138091</v>
      </c>
      <c r="BA20" s="54">
        <v>37.152000000000001</v>
      </c>
      <c r="BB20" s="54">
        <v>33.481999999999999</v>
      </c>
      <c r="BC20" s="54">
        <f t="shared" si="22"/>
        <v>35.317</v>
      </c>
      <c r="BD20" s="54">
        <f t="shared" si="23"/>
        <v>2.5950818869546306</v>
      </c>
      <c r="BE20" s="2">
        <v>22.8</v>
      </c>
      <c r="BF20" s="2">
        <v>24.3</v>
      </c>
      <c r="BG20" s="2">
        <v>25.2</v>
      </c>
      <c r="BH20" s="37">
        <f t="shared" si="24"/>
        <v>24.099999999999998</v>
      </c>
      <c r="BI20" s="2">
        <f t="shared" si="25"/>
        <v>1.2124355652982135</v>
      </c>
      <c r="BJ20" s="8">
        <v>0.79</v>
      </c>
      <c r="BK20" s="8">
        <v>0.72</v>
      </c>
      <c r="BL20" s="8">
        <v>0.68</v>
      </c>
      <c r="BM20" s="8">
        <f t="shared" si="26"/>
        <v>0.73</v>
      </c>
      <c r="BN20" s="9">
        <f t="shared" si="27"/>
        <v>5.5677643628300223E-2</v>
      </c>
      <c r="BO20" s="10">
        <v>25</v>
      </c>
      <c r="BP20" s="10">
        <v>29</v>
      </c>
      <c r="BQ20" s="10">
        <v>5</v>
      </c>
      <c r="BR20" s="10">
        <v>2</v>
      </c>
      <c r="BS20" s="10">
        <f t="shared" si="28"/>
        <v>36</v>
      </c>
      <c r="BT20" s="10">
        <v>8.61</v>
      </c>
      <c r="BU20" s="10">
        <v>2.89</v>
      </c>
      <c r="BV20" s="10">
        <v>6.94</v>
      </c>
      <c r="BW20" s="38">
        <v>45994</v>
      </c>
      <c r="BX20" s="3" t="s">
        <v>84</v>
      </c>
      <c r="BY20" s="16"/>
    </row>
    <row r="21" spans="2:77" ht="14.25" x14ac:dyDescent="0.2">
      <c r="B21" s="4">
        <v>15</v>
      </c>
      <c r="C21" s="3">
        <v>210</v>
      </c>
      <c r="D21" s="3">
        <v>100</v>
      </c>
      <c r="E21" s="3">
        <v>0.1</v>
      </c>
      <c r="F21" s="3">
        <v>30</v>
      </c>
      <c r="G21" s="3" t="s">
        <v>83</v>
      </c>
      <c r="H21" s="3">
        <v>10</v>
      </c>
      <c r="I21" s="2">
        <v>69.86</v>
      </c>
      <c r="J21" s="2">
        <v>69.84</v>
      </c>
      <c r="K21" s="2">
        <v>69.819999999999993</v>
      </c>
      <c r="L21" s="54">
        <f t="shared" si="4"/>
        <v>69.839999999999989</v>
      </c>
      <c r="M21" s="54">
        <f t="shared" si="5"/>
        <v>2.0000000000003126E-2</v>
      </c>
      <c r="N21" s="54">
        <f t="shared" si="6"/>
        <v>0.1600000000000108</v>
      </c>
      <c r="O21" s="3">
        <v>49.77</v>
      </c>
      <c r="P21" s="3">
        <v>49.76</v>
      </c>
      <c r="Q21" s="3">
        <v>49.76</v>
      </c>
      <c r="R21" s="54">
        <f t="shared" si="0"/>
        <v>49.763333333333328</v>
      </c>
      <c r="S21" s="54">
        <f t="shared" si="1"/>
        <v>5.7735026918992113E-3</v>
      </c>
      <c r="T21" s="54">
        <f t="shared" si="7"/>
        <v>0.23666666666667169</v>
      </c>
      <c r="U21" s="3">
        <v>5.0199999999999996</v>
      </c>
      <c r="V21" s="3">
        <v>5.03</v>
      </c>
      <c r="W21" s="3">
        <v>5.0199999999999996</v>
      </c>
      <c r="X21" s="54">
        <f t="shared" si="2"/>
        <v>5.0233333333333334</v>
      </c>
      <c r="Y21" s="54">
        <f t="shared" si="3"/>
        <v>5.7735026918966474E-3</v>
      </c>
      <c r="Z21" s="54">
        <f t="shared" si="8"/>
        <v>2.3333333333333428E-2</v>
      </c>
      <c r="AA21" s="50">
        <v>70.014200000000002</v>
      </c>
      <c r="AB21" s="50">
        <f t="shared" si="9"/>
        <v>1.4200000000002433E-2</v>
      </c>
      <c r="AC21" s="50">
        <v>49.379399999999997</v>
      </c>
      <c r="AD21" s="50">
        <f t="shared" si="10"/>
        <v>0.62060000000000315</v>
      </c>
      <c r="AE21" s="50">
        <v>5.5209000000000001</v>
      </c>
      <c r="AF21" s="50">
        <f t="shared" si="11"/>
        <v>0.52090000000000014</v>
      </c>
      <c r="AG21" s="54">
        <v>2.657</v>
      </c>
      <c r="AH21" s="54">
        <v>2.1619999999999999</v>
      </c>
      <c r="AI21" s="54">
        <f t="shared" si="12"/>
        <v>2.4095</v>
      </c>
      <c r="AJ21" s="54">
        <f t="shared" si="13"/>
        <v>0.35001785668734231</v>
      </c>
      <c r="AK21" s="54">
        <v>2.9729999999999999</v>
      </c>
      <c r="AL21" s="54">
        <v>4.9249999999999998</v>
      </c>
      <c r="AM21" s="54">
        <f t="shared" si="14"/>
        <v>3.9489999999999998</v>
      </c>
      <c r="AN21" s="54">
        <f t="shared" si="15"/>
        <v>1.3802724368761399</v>
      </c>
      <c r="AO21" s="54">
        <v>3.7949999999999999</v>
      </c>
      <c r="AP21" s="54">
        <v>3.1749999999999998</v>
      </c>
      <c r="AQ21" s="54">
        <f t="shared" si="16"/>
        <v>3.4849999999999999</v>
      </c>
      <c r="AR21" s="54">
        <f t="shared" si="17"/>
        <v>0.43840620433565952</v>
      </c>
      <c r="AS21" s="54">
        <v>4.1159999999999997</v>
      </c>
      <c r="AT21" s="54">
        <v>6.2080000000000002</v>
      </c>
      <c r="AU21" s="54">
        <f t="shared" si="18"/>
        <v>5.1619999999999999</v>
      </c>
      <c r="AV21" s="54">
        <f t="shared" si="19"/>
        <v>1.4792673862422596</v>
      </c>
      <c r="AW21" s="54">
        <v>22.352</v>
      </c>
      <c r="AX21" s="54">
        <v>17.867000000000001</v>
      </c>
      <c r="AY21" s="54">
        <f t="shared" si="20"/>
        <v>20.109500000000001</v>
      </c>
      <c r="AZ21" s="54">
        <f t="shared" si="21"/>
        <v>3.1713739136216663</v>
      </c>
      <c r="BA21" s="54">
        <v>26.012</v>
      </c>
      <c r="BB21" s="54">
        <v>33.49</v>
      </c>
      <c r="BC21" s="54">
        <f t="shared" si="22"/>
        <v>29.751000000000001</v>
      </c>
      <c r="BD21" s="54">
        <f t="shared" si="23"/>
        <v>5.2877445097129909</v>
      </c>
      <c r="BE21" s="2">
        <v>25.1</v>
      </c>
      <c r="BF21" s="2">
        <v>25.5</v>
      </c>
      <c r="BG21" s="2">
        <v>25.2</v>
      </c>
      <c r="BH21" s="37">
        <f t="shared" si="24"/>
        <v>25.266666666666666</v>
      </c>
      <c r="BI21" s="2">
        <f t="shared" si="25"/>
        <v>0.20816659994661282</v>
      </c>
      <c r="BJ21" s="8">
        <v>0.68</v>
      </c>
      <c r="BK21" s="8">
        <v>0.65</v>
      </c>
      <c r="BL21" s="8">
        <v>0.66</v>
      </c>
      <c r="BM21" s="8">
        <f t="shared" si="26"/>
        <v>0.66333333333333344</v>
      </c>
      <c r="BN21" s="9">
        <f t="shared" si="27"/>
        <v>1.527525231651948E-2</v>
      </c>
      <c r="BO21" s="10">
        <v>81</v>
      </c>
      <c r="BP21" s="10">
        <v>85</v>
      </c>
      <c r="BQ21" s="10">
        <v>5</v>
      </c>
      <c r="BR21" s="10">
        <v>2</v>
      </c>
      <c r="BS21" s="10">
        <f t="shared" si="28"/>
        <v>92</v>
      </c>
      <c r="BT21" s="10">
        <v>8.61</v>
      </c>
      <c r="BU21" s="10">
        <v>2.89</v>
      </c>
      <c r="BV21" s="10">
        <v>6.94</v>
      </c>
      <c r="BW21" s="38">
        <v>45994</v>
      </c>
      <c r="BX21" s="3" t="s">
        <v>84</v>
      </c>
      <c r="BY21" s="16"/>
    </row>
    <row r="22" spans="2:77" ht="14.25" x14ac:dyDescent="0.2">
      <c r="B22" s="4">
        <v>16</v>
      </c>
      <c r="C22" s="3">
        <v>210</v>
      </c>
      <c r="D22" s="3">
        <v>200</v>
      </c>
      <c r="E22" s="3">
        <v>0.2</v>
      </c>
      <c r="F22" s="3">
        <v>120</v>
      </c>
      <c r="G22" s="3" t="s">
        <v>83</v>
      </c>
      <c r="H22" s="3">
        <v>30</v>
      </c>
      <c r="I22" s="2">
        <v>69.709999999999994</v>
      </c>
      <c r="J22" s="2">
        <v>69.680000000000007</v>
      </c>
      <c r="K22" s="2">
        <v>69.69</v>
      </c>
      <c r="L22" s="54">
        <f t="shared" si="4"/>
        <v>69.693333333333328</v>
      </c>
      <c r="M22" s="54">
        <f t="shared" si="5"/>
        <v>1.5275252316513326E-2</v>
      </c>
      <c r="N22" s="54">
        <f t="shared" si="6"/>
        <v>0.30666666666667197</v>
      </c>
      <c r="O22" s="3">
        <v>49.68</v>
      </c>
      <c r="P22" s="3">
        <v>49.71</v>
      </c>
      <c r="Q22" s="3">
        <v>49.67</v>
      </c>
      <c r="R22" s="55">
        <f t="shared" si="0"/>
        <v>49.686666666666667</v>
      </c>
      <c r="S22" s="55">
        <f t="shared" si="1"/>
        <v>2.0816659994661167E-2</v>
      </c>
      <c r="T22" s="55">
        <f t="shared" si="7"/>
        <v>0.31333333333333258</v>
      </c>
      <c r="U22" s="3">
        <v>5.01</v>
      </c>
      <c r="V22" s="3">
        <v>5</v>
      </c>
      <c r="W22" s="3">
        <v>5.0199999999999996</v>
      </c>
      <c r="X22" s="55">
        <f t="shared" si="2"/>
        <v>5.01</v>
      </c>
      <c r="Y22" s="55">
        <f t="shared" si="3"/>
        <v>9.9999999999997868E-3</v>
      </c>
      <c r="Z22" s="55">
        <f t="shared" si="8"/>
        <v>9.9999999999997868E-3</v>
      </c>
      <c r="AA22" s="51">
        <v>69.742599999999996</v>
      </c>
      <c r="AB22" s="51">
        <f t="shared" si="9"/>
        <v>0.25740000000000407</v>
      </c>
      <c r="AC22" s="51">
        <v>49.3733</v>
      </c>
      <c r="AD22" s="51">
        <f t="shared" si="10"/>
        <v>0.62669999999999959</v>
      </c>
      <c r="AE22" s="51">
        <v>5.6588000000000003</v>
      </c>
      <c r="AF22" s="51">
        <f t="shared" si="11"/>
        <v>0.65880000000000027</v>
      </c>
      <c r="AG22" s="55">
        <v>7.2729999999999997</v>
      </c>
      <c r="AH22" s="55">
        <v>6.508</v>
      </c>
      <c r="AI22" s="55">
        <f t="shared" si="12"/>
        <v>6.8904999999999994</v>
      </c>
      <c r="AJ22" s="55">
        <f t="shared" si="13"/>
        <v>0.54093668760770863</v>
      </c>
      <c r="AK22" s="55">
        <v>8.0180000000000007</v>
      </c>
      <c r="AL22" s="55">
        <v>7.8090000000000002</v>
      </c>
      <c r="AM22" s="55">
        <f t="shared" si="14"/>
        <v>7.9135000000000009</v>
      </c>
      <c r="AN22" s="55">
        <f t="shared" si="15"/>
        <v>0.1477853172679888</v>
      </c>
      <c r="AO22" s="55">
        <v>8.4160000000000004</v>
      </c>
      <c r="AP22" s="55">
        <v>7.5259999999999998</v>
      </c>
      <c r="AQ22" s="55">
        <f t="shared" si="16"/>
        <v>7.9710000000000001</v>
      </c>
      <c r="AR22" s="55">
        <f t="shared" si="17"/>
        <v>0.62932503525602768</v>
      </c>
      <c r="AS22" s="55">
        <v>9.1850000000000005</v>
      </c>
      <c r="AT22" s="55">
        <v>8.9870000000000001</v>
      </c>
      <c r="AU22" s="55">
        <f t="shared" si="18"/>
        <v>9.0860000000000003</v>
      </c>
      <c r="AV22" s="55">
        <f t="shared" si="19"/>
        <v>0.14000714267493669</v>
      </c>
      <c r="AW22" s="55">
        <v>30.068000000000001</v>
      </c>
      <c r="AX22" s="55">
        <v>29.004999999999999</v>
      </c>
      <c r="AY22" s="55">
        <f t="shared" si="20"/>
        <v>29.5365</v>
      </c>
      <c r="AZ22" s="55">
        <f t="shared" si="21"/>
        <v>0.75165450840130177</v>
      </c>
      <c r="BA22" s="55">
        <v>35.606000000000002</v>
      </c>
      <c r="BB22" s="55">
        <v>34.838999999999999</v>
      </c>
      <c r="BC22" s="55">
        <f t="shared" si="22"/>
        <v>35.222499999999997</v>
      </c>
      <c r="BD22" s="55">
        <f t="shared" si="23"/>
        <v>0.54235090117008411</v>
      </c>
      <c r="BE22" s="3">
        <v>25.2</v>
      </c>
      <c r="BF22" s="3">
        <v>25.3</v>
      </c>
      <c r="BG22" s="2">
        <v>25.3</v>
      </c>
      <c r="BH22" s="37">
        <f>AVERAGE(BE22:BG22)</f>
        <v>25.266666666666666</v>
      </c>
      <c r="BI22" s="2">
        <f t="shared" si="25"/>
        <v>5.77350269189634E-2</v>
      </c>
      <c r="BJ22" s="14">
        <v>0.67</v>
      </c>
      <c r="BK22" s="14">
        <v>0.67</v>
      </c>
      <c r="BL22" s="8">
        <v>0.67</v>
      </c>
      <c r="BM22" s="8">
        <f t="shared" si="26"/>
        <v>0.67</v>
      </c>
      <c r="BN22" s="9">
        <f t="shared" si="27"/>
        <v>0</v>
      </c>
      <c r="BO22" s="10">
        <v>21</v>
      </c>
      <c r="BP22" s="10">
        <v>25</v>
      </c>
      <c r="BQ22" s="10">
        <v>5</v>
      </c>
      <c r="BR22" s="10">
        <v>2</v>
      </c>
      <c r="BS22" s="10">
        <f t="shared" si="28"/>
        <v>32</v>
      </c>
      <c r="BT22" s="10">
        <v>13.03</v>
      </c>
      <c r="BU22" s="10">
        <v>4.37</v>
      </c>
      <c r="BV22" s="10">
        <v>10.51</v>
      </c>
      <c r="BW22" s="38">
        <v>45994</v>
      </c>
      <c r="BX22" s="3" t="s">
        <v>84</v>
      </c>
      <c r="BY22" s="16"/>
    </row>
    <row r="23" spans="2:77" ht="14.25" x14ac:dyDescent="0.2">
      <c r="B23" s="4">
        <v>17</v>
      </c>
      <c r="C23" s="3">
        <v>210</v>
      </c>
      <c r="D23" s="3">
        <v>100</v>
      </c>
      <c r="E23" s="3">
        <v>0.1</v>
      </c>
      <c r="F23" s="3">
        <v>120</v>
      </c>
      <c r="G23" s="3" t="s">
        <v>86</v>
      </c>
      <c r="H23" s="3">
        <v>30</v>
      </c>
      <c r="I23" s="2">
        <v>69.849999999999994</v>
      </c>
      <c r="J23" s="2">
        <v>69.89</v>
      </c>
      <c r="K23" s="2">
        <v>69.84</v>
      </c>
      <c r="L23" s="54">
        <f t="shared" si="4"/>
        <v>69.86</v>
      </c>
      <c r="M23" s="54">
        <f t="shared" si="5"/>
        <v>2.6457513110646012E-2</v>
      </c>
      <c r="N23" s="54">
        <f t="shared" si="6"/>
        <v>0.14000000000000057</v>
      </c>
      <c r="O23" s="3">
        <v>49.85</v>
      </c>
      <c r="P23" s="3">
        <v>49.86</v>
      </c>
      <c r="Q23" s="3">
        <v>49.88</v>
      </c>
      <c r="R23" s="55">
        <f t="shared" si="0"/>
        <v>49.863333333333337</v>
      </c>
      <c r="S23" s="55">
        <f t="shared" si="1"/>
        <v>1.5275252316520303E-2</v>
      </c>
      <c r="T23" s="55">
        <f t="shared" si="7"/>
        <v>0.13666666666666316</v>
      </c>
      <c r="U23" s="3">
        <v>5.05</v>
      </c>
      <c r="V23" s="3">
        <v>5.0599999999999996</v>
      </c>
      <c r="W23" s="3">
        <v>5.07</v>
      </c>
      <c r="X23" s="55">
        <f t="shared" si="2"/>
        <v>5.0599999999999996</v>
      </c>
      <c r="Y23" s="55">
        <f t="shared" si="3"/>
        <v>1.0000000000000231E-2</v>
      </c>
      <c r="Z23" s="55">
        <f t="shared" si="8"/>
        <v>5.9999999999999609E-2</v>
      </c>
      <c r="AA23" s="51">
        <v>69.783500000000004</v>
      </c>
      <c r="AB23" s="51">
        <f t="shared" si="9"/>
        <v>0.21649999999999636</v>
      </c>
      <c r="AC23" s="51">
        <v>49.264400000000002</v>
      </c>
      <c r="AD23" s="51">
        <f t="shared" si="10"/>
        <v>0.73559999999999803</v>
      </c>
      <c r="AE23" s="51">
        <v>5.8667999999999996</v>
      </c>
      <c r="AF23" s="51">
        <f t="shared" si="11"/>
        <v>0.86679999999999957</v>
      </c>
      <c r="AG23" s="55">
        <v>3.923</v>
      </c>
      <c r="AH23" s="55">
        <v>3.851</v>
      </c>
      <c r="AI23" s="55">
        <f t="shared" si="12"/>
        <v>3.887</v>
      </c>
      <c r="AJ23" s="55">
        <f t="shared" si="13"/>
        <v>5.0911688245431463E-2</v>
      </c>
      <c r="AK23" s="55">
        <v>2.879</v>
      </c>
      <c r="AL23" s="55">
        <v>2.9820000000000002</v>
      </c>
      <c r="AM23" s="55">
        <f t="shared" si="14"/>
        <v>2.9305000000000003</v>
      </c>
      <c r="AN23" s="55">
        <f t="shared" si="15"/>
        <v>7.2831998462214539E-2</v>
      </c>
      <c r="AO23" s="55">
        <v>6.3369999999999997</v>
      </c>
      <c r="AP23" s="55">
        <v>5.8810000000000002</v>
      </c>
      <c r="AQ23" s="55">
        <f t="shared" si="16"/>
        <v>6.109</v>
      </c>
      <c r="AR23" s="55">
        <f t="shared" si="17"/>
        <v>0.32244069222106536</v>
      </c>
      <c r="AS23" s="55">
        <v>3.7549999999999999</v>
      </c>
      <c r="AT23" s="55">
        <v>4.1079999999999997</v>
      </c>
      <c r="AU23" s="55">
        <f t="shared" si="18"/>
        <v>3.9314999999999998</v>
      </c>
      <c r="AV23" s="55">
        <f t="shared" si="19"/>
        <v>0.24960869375885111</v>
      </c>
      <c r="AW23" s="55">
        <v>37.841999999999999</v>
      </c>
      <c r="AX23" s="55">
        <v>32.398000000000003</v>
      </c>
      <c r="AY23" s="55">
        <f t="shared" si="20"/>
        <v>35.120000000000005</v>
      </c>
      <c r="AZ23" s="55">
        <f t="shared" si="21"/>
        <v>3.8494893167795614</v>
      </c>
      <c r="BA23" s="55">
        <v>23.327000000000002</v>
      </c>
      <c r="BB23" s="55">
        <v>26.588000000000001</v>
      </c>
      <c r="BC23" s="55">
        <f t="shared" si="22"/>
        <v>24.957500000000003</v>
      </c>
      <c r="BD23" s="55">
        <f t="shared" si="23"/>
        <v>2.305875213449331</v>
      </c>
      <c r="BE23" s="2">
        <v>25.3</v>
      </c>
      <c r="BF23" s="2">
        <v>25.5</v>
      </c>
      <c r="BG23" s="2">
        <v>25.6</v>
      </c>
      <c r="BH23" s="37">
        <f t="shared" ref="BH23:BH49" si="29">AVERAGE(BE23:BG23)</f>
        <v>25.466666666666669</v>
      </c>
      <c r="BI23" s="2">
        <f t="shared" si="25"/>
        <v>0.15275252316519491</v>
      </c>
      <c r="BJ23" s="8">
        <v>0.67</v>
      </c>
      <c r="BK23" s="8">
        <v>0.66</v>
      </c>
      <c r="BL23" s="8">
        <v>0.65</v>
      </c>
      <c r="BM23" s="8">
        <f t="shared" si="26"/>
        <v>0.66</v>
      </c>
      <c r="BN23" s="9">
        <f t="shared" si="27"/>
        <v>1.0000000000000009E-2</v>
      </c>
      <c r="BO23" s="10">
        <v>34</v>
      </c>
      <c r="BP23" s="10">
        <v>37</v>
      </c>
      <c r="BQ23" s="10">
        <v>5</v>
      </c>
      <c r="BR23" s="10">
        <v>2</v>
      </c>
      <c r="BS23" s="10">
        <f t="shared" si="28"/>
        <v>44</v>
      </c>
      <c r="BT23" s="10">
        <v>11.67</v>
      </c>
      <c r="BU23" s="10">
        <v>3.91</v>
      </c>
      <c r="BV23" s="10">
        <v>9.41</v>
      </c>
      <c r="BW23" s="38">
        <v>45994</v>
      </c>
      <c r="BX23" s="3" t="s">
        <v>84</v>
      </c>
      <c r="BY23" s="16"/>
    </row>
    <row r="24" spans="2:77" ht="14.25" x14ac:dyDescent="0.2">
      <c r="B24" s="4">
        <v>18</v>
      </c>
      <c r="C24" s="3">
        <v>210</v>
      </c>
      <c r="D24" s="3">
        <v>200</v>
      </c>
      <c r="E24" s="3">
        <v>0.2</v>
      </c>
      <c r="F24" s="3">
        <v>30</v>
      </c>
      <c r="G24" s="3" t="s">
        <v>86</v>
      </c>
      <c r="H24" s="3">
        <v>10</v>
      </c>
      <c r="I24" s="2">
        <v>69.709999999999994</v>
      </c>
      <c r="J24" s="2">
        <v>69.77</v>
      </c>
      <c r="K24" s="2">
        <v>69.739999999999995</v>
      </c>
      <c r="L24" s="54">
        <f t="shared" si="4"/>
        <v>69.739999999999995</v>
      </c>
      <c r="M24" s="54">
        <f t="shared" si="5"/>
        <v>3.0000000000001137E-2</v>
      </c>
      <c r="N24" s="54">
        <f t="shared" si="6"/>
        <v>0.26000000000000512</v>
      </c>
      <c r="O24" s="3">
        <v>49.73</v>
      </c>
      <c r="P24" s="3">
        <v>49.7</v>
      </c>
      <c r="Q24" s="3">
        <v>49.75</v>
      </c>
      <c r="R24" s="55">
        <f t="shared" si="0"/>
        <v>49.726666666666667</v>
      </c>
      <c r="S24" s="55">
        <f t="shared" si="1"/>
        <v>2.5166114784234118E-2</v>
      </c>
      <c r="T24" s="55">
        <f t="shared" si="7"/>
        <v>0.27333333333333343</v>
      </c>
      <c r="U24" s="3">
        <v>4.9800000000000004</v>
      </c>
      <c r="V24" s="3">
        <v>4.9800000000000004</v>
      </c>
      <c r="W24" s="3">
        <v>4.99</v>
      </c>
      <c r="X24" s="55">
        <f t="shared" si="2"/>
        <v>4.9833333333333334</v>
      </c>
      <c r="Y24" s="55">
        <f t="shared" si="3"/>
        <v>5.7735026918961348E-3</v>
      </c>
      <c r="Z24" s="55">
        <f t="shared" si="8"/>
        <v>1.6666666666666607E-2</v>
      </c>
      <c r="AA24" s="51">
        <v>69.943100000000001</v>
      </c>
      <c r="AB24" s="51">
        <f t="shared" si="9"/>
        <v>5.689999999999884E-2</v>
      </c>
      <c r="AC24" s="51">
        <v>49.177799999999998</v>
      </c>
      <c r="AD24" s="51">
        <f t="shared" si="10"/>
        <v>0.82220000000000226</v>
      </c>
      <c r="AE24" s="51">
        <v>5.2576999999999998</v>
      </c>
      <c r="AF24" s="51">
        <f t="shared" si="11"/>
        <v>0.25769999999999982</v>
      </c>
      <c r="AG24" s="55">
        <v>7.149</v>
      </c>
      <c r="AH24" s="55">
        <v>7.2590000000000003</v>
      </c>
      <c r="AI24" s="55">
        <f t="shared" si="12"/>
        <v>7.2040000000000006</v>
      </c>
      <c r="AJ24" s="55">
        <f t="shared" si="13"/>
        <v>7.7781745930520452E-2</v>
      </c>
      <c r="AK24" s="55">
        <v>5.6150000000000002</v>
      </c>
      <c r="AL24" s="55">
        <v>7.327</v>
      </c>
      <c r="AM24" s="55">
        <f t="shared" si="14"/>
        <v>6.4710000000000001</v>
      </c>
      <c r="AN24" s="55">
        <f t="shared" si="15"/>
        <v>1.2105668093913715</v>
      </c>
      <c r="AO24" s="55">
        <v>8.0839999999999996</v>
      </c>
      <c r="AP24" s="55">
        <v>8.2620000000000005</v>
      </c>
      <c r="AQ24" s="55">
        <f t="shared" si="16"/>
        <v>8.173</v>
      </c>
      <c r="AR24" s="55">
        <f t="shared" si="17"/>
        <v>0.12586500705120604</v>
      </c>
      <c r="AS24" s="55">
        <v>7.31</v>
      </c>
      <c r="AT24" s="55">
        <v>8.34</v>
      </c>
      <c r="AU24" s="55">
        <f t="shared" si="18"/>
        <v>7.8249999999999993</v>
      </c>
      <c r="AV24" s="55">
        <f t="shared" si="19"/>
        <v>0.7283199846221442</v>
      </c>
      <c r="AW24" s="55">
        <v>28.268999999999998</v>
      </c>
      <c r="AX24" s="55">
        <v>30.948</v>
      </c>
      <c r="AY24" s="55">
        <f t="shared" si="20"/>
        <v>29.608499999999999</v>
      </c>
      <c r="AZ24" s="55">
        <f t="shared" si="21"/>
        <v>1.8943390667987623</v>
      </c>
      <c r="BA24" s="55">
        <v>39.790999999999997</v>
      </c>
      <c r="BB24" s="55">
        <v>31.766999999999999</v>
      </c>
      <c r="BC24" s="55">
        <f t="shared" si="22"/>
        <v>35.778999999999996</v>
      </c>
      <c r="BD24" s="55">
        <f t="shared" si="23"/>
        <v>5.6738248122408743</v>
      </c>
      <c r="BE24" s="2">
        <v>24.9</v>
      </c>
      <c r="BF24" s="2">
        <v>25.5</v>
      </c>
      <c r="BG24" s="2">
        <v>25.4</v>
      </c>
      <c r="BH24" s="37">
        <f>AVERAGE(BE24:BG24)</f>
        <v>25.266666666666666</v>
      </c>
      <c r="BI24" s="2">
        <f>_xlfn.STDEV.S(BE24:BG24)</f>
        <v>0.32145502536643233</v>
      </c>
      <c r="BJ24" s="8">
        <v>0.66</v>
      </c>
      <c r="BK24" s="8">
        <v>0.64</v>
      </c>
      <c r="BL24" s="8">
        <v>0.68</v>
      </c>
      <c r="BM24" s="8">
        <f>AVERAGE(BJ24:BL24)</f>
        <v>0.66</v>
      </c>
      <c r="BN24" s="9">
        <f>_xlfn.STDEV.S(BJ24:BL24)</f>
        <v>2.0000000000000018E-2</v>
      </c>
      <c r="BO24" s="10">
        <v>53</v>
      </c>
      <c r="BP24" s="10">
        <v>56</v>
      </c>
      <c r="BQ24" s="10">
        <v>5</v>
      </c>
      <c r="BR24" s="10">
        <v>2</v>
      </c>
      <c r="BS24" s="10">
        <f t="shared" si="28"/>
        <v>63</v>
      </c>
      <c r="BT24" s="10">
        <v>10.36</v>
      </c>
      <c r="BU24" s="10">
        <v>3.47</v>
      </c>
      <c r="BV24" s="10">
        <v>8.35</v>
      </c>
      <c r="BW24" s="38">
        <v>45994</v>
      </c>
      <c r="BX24" s="3" t="s">
        <v>84</v>
      </c>
      <c r="BY24" s="16"/>
    </row>
    <row r="25" spans="2:77" ht="14.25" x14ac:dyDescent="0.2">
      <c r="B25" s="4">
        <v>19</v>
      </c>
      <c r="C25" s="3">
        <v>200</v>
      </c>
      <c r="D25" s="3">
        <v>150</v>
      </c>
      <c r="E25" s="3">
        <v>0.15</v>
      </c>
      <c r="F25" s="3">
        <v>75</v>
      </c>
      <c r="G25" s="3" t="s">
        <v>85</v>
      </c>
      <c r="H25" s="3">
        <v>10</v>
      </c>
      <c r="I25" s="2">
        <v>69.72</v>
      </c>
      <c r="J25" s="2">
        <v>69.739999999999995</v>
      </c>
      <c r="K25" s="2">
        <v>69.739999999999995</v>
      </c>
      <c r="L25" s="54">
        <f t="shared" si="4"/>
        <v>69.733333333333334</v>
      </c>
      <c r="M25" s="54">
        <f t="shared" si="5"/>
        <v>1.1547005383790217E-2</v>
      </c>
      <c r="N25" s="54">
        <f t="shared" si="6"/>
        <v>0.26666666666666572</v>
      </c>
      <c r="O25" s="3">
        <v>49.66</v>
      </c>
      <c r="P25" s="3">
        <v>49.68</v>
      </c>
      <c r="Q25" s="3">
        <v>49.72</v>
      </c>
      <c r="R25" s="55">
        <f t="shared" si="0"/>
        <v>49.686666666666667</v>
      </c>
      <c r="S25" s="55">
        <f t="shared" si="1"/>
        <v>3.0550504633039832E-2</v>
      </c>
      <c r="T25" s="55">
        <f t="shared" si="7"/>
        <v>0.31333333333333258</v>
      </c>
      <c r="U25" s="3">
        <v>4.96</v>
      </c>
      <c r="V25" s="3">
        <v>4.97</v>
      </c>
      <c r="W25" s="3">
        <v>4.96</v>
      </c>
      <c r="X25" s="55">
        <f t="shared" si="2"/>
        <v>4.9633333333333338</v>
      </c>
      <c r="Y25" s="55">
        <f t="shared" si="3"/>
        <v>5.7735026918961348E-3</v>
      </c>
      <c r="Z25" s="55">
        <f t="shared" si="8"/>
        <v>3.6666666666666181E-2</v>
      </c>
      <c r="AA25" s="51">
        <v>69.818700000000007</v>
      </c>
      <c r="AB25" s="51">
        <f t="shared" si="9"/>
        <v>0.18129999999999313</v>
      </c>
      <c r="AC25" s="51">
        <v>49.290900000000001</v>
      </c>
      <c r="AD25" s="51">
        <f t="shared" si="10"/>
        <v>0.7090999999999994</v>
      </c>
      <c r="AE25" s="51">
        <v>5.3030999999999997</v>
      </c>
      <c r="AF25" s="51">
        <f t="shared" si="11"/>
        <v>0.3030999999999997</v>
      </c>
      <c r="AG25" s="55">
        <v>6.3330000000000002</v>
      </c>
      <c r="AH25" s="55">
        <v>5.4429999999999996</v>
      </c>
      <c r="AI25" s="55">
        <f t="shared" si="12"/>
        <v>5.8879999999999999</v>
      </c>
      <c r="AJ25" s="55">
        <f t="shared" si="13"/>
        <v>0.62932503525602768</v>
      </c>
      <c r="AK25" s="55">
        <v>7.7089999999999996</v>
      </c>
      <c r="AL25" s="55">
        <v>7.1719999999999997</v>
      </c>
      <c r="AM25" s="55">
        <f t="shared" si="14"/>
        <v>7.4405000000000001</v>
      </c>
      <c r="AN25" s="55">
        <f t="shared" si="15"/>
        <v>0.37971634149717598</v>
      </c>
      <c r="AO25" s="55">
        <v>8.7739999999999991</v>
      </c>
      <c r="AP25" s="55">
        <v>8.1999999999999993</v>
      </c>
      <c r="AQ25" s="55">
        <f t="shared" si="16"/>
        <v>8.4869999999999983</v>
      </c>
      <c r="AR25" s="55">
        <f t="shared" si="17"/>
        <v>0.40587929240107817</v>
      </c>
      <c r="AS25" s="55">
        <v>10.535</v>
      </c>
      <c r="AT25" s="55">
        <v>9.1539999999999999</v>
      </c>
      <c r="AU25" s="55">
        <f t="shared" si="18"/>
        <v>9.8445</v>
      </c>
      <c r="AV25" s="55">
        <f t="shared" si="19"/>
        <v>0.97651446481862225</v>
      </c>
      <c r="AW25" s="55">
        <v>43.052</v>
      </c>
      <c r="AX25" s="55">
        <v>44.209000000000003</v>
      </c>
      <c r="AY25" s="55">
        <f t="shared" si="20"/>
        <v>43.630499999999998</v>
      </c>
      <c r="AZ25" s="55">
        <f t="shared" si="21"/>
        <v>0.81812254583283794</v>
      </c>
      <c r="BA25" s="55">
        <v>54.557000000000002</v>
      </c>
      <c r="BB25" s="55">
        <v>46.249000000000002</v>
      </c>
      <c r="BC25" s="55">
        <f t="shared" si="22"/>
        <v>50.403000000000006</v>
      </c>
      <c r="BD25" s="55">
        <f t="shared" si="23"/>
        <v>5.874643138097837</v>
      </c>
      <c r="BE25" s="2">
        <v>25.6</v>
      </c>
      <c r="BF25" s="2">
        <v>25.5</v>
      </c>
      <c r="BG25" s="2">
        <v>25.6</v>
      </c>
      <c r="BH25" s="37">
        <f t="shared" si="29"/>
        <v>25.566666666666666</v>
      </c>
      <c r="BI25" s="2">
        <f t="shared" si="25"/>
        <v>5.77350269189634E-2</v>
      </c>
      <c r="BJ25" s="8">
        <v>0.65</v>
      </c>
      <c r="BK25" s="8">
        <v>0.66</v>
      </c>
      <c r="BL25" s="8">
        <v>0.65</v>
      </c>
      <c r="BM25" s="8">
        <f t="shared" ref="BM25:BM49" si="30">AVERAGE(BJ25:BL25)</f>
        <v>0.65333333333333332</v>
      </c>
      <c r="BN25" s="9">
        <f t="shared" ref="BN25:BN49" si="31">_xlfn.STDEV.S(BJ25:BL25)</f>
        <v>5.7735026918962623E-3</v>
      </c>
      <c r="BO25" s="10">
        <v>26</v>
      </c>
      <c r="BP25" s="10">
        <v>30</v>
      </c>
      <c r="BQ25" s="10">
        <v>5</v>
      </c>
      <c r="BR25" s="10">
        <v>2</v>
      </c>
      <c r="BS25" s="10">
        <f t="shared" si="28"/>
        <v>37</v>
      </c>
      <c r="BT25" s="10">
        <v>8.8800000000000008</v>
      </c>
      <c r="BU25" s="10">
        <v>2.98</v>
      </c>
      <c r="BV25" s="10">
        <v>7.16</v>
      </c>
      <c r="BW25" s="38">
        <v>45994</v>
      </c>
      <c r="BX25" s="3" t="s">
        <v>84</v>
      </c>
      <c r="BY25" s="16"/>
    </row>
    <row r="26" spans="2:77" ht="14.25" x14ac:dyDescent="0.2">
      <c r="B26" s="4">
        <v>20</v>
      </c>
      <c r="C26" s="3">
        <v>210</v>
      </c>
      <c r="D26" s="3">
        <v>100</v>
      </c>
      <c r="E26" s="3">
        <v>0.1</v>
      </c>
      <c r="F26" s="3">
        <v>30</v>
      </c>
      <c r="G26" s="3" t="s">
        <v>86</v>
      </c>
      <c r="H26" s="3">
        <v>10</v>
      </c>
      <c r="I26" s="2">
        <v>69.81</v>
      </c>
      <c r="J26" s="2">
        <v>69.8</v>
      </c>
      <c r="K26" s="2">
        <v>69.81</v>
      </c>
      <c r="L26" s="54">
        <f t="shared" si="4"/>
        <v>69.806666666666672</v>
      </c>
      <c r="M26" s="54">
        <f t="shared" si="5"/>
        <v>5.7735026918992113E-3</v>
      </c>
      <c r="N26" s="54">
        <f t="shared" si="6"/>
        <v>0.19333333333332803</v>
      </c>
      <c r="O26" s="3">
        <v>49.76</v>
      </c>
      <c r="P26" s="3">
        <v>49.78</v>
      </c>
      <c r="Q26" s="3">
        <v>49.76</v>
      </c>
      <c r="R26" s="55">
        <f t="shared" si="0"/>
        <v>49.766666666666659</v>
      </c>
      <c r="S26" s="55">
        <f t="shared" si="1"/>
        <v>1.154700538379432E-2</v>
      </c>
      <c r="T26" s="55">
        <f t="shared" si="7"/>
        <v>0.23333333333334139</v>
      </c>
      <c r="U26" s="3">
        <v>5</v>
      </c>
      <c r="V26" s="3">
        <v>5.01</v>
      </c>
      <c r="W26" s="3">
        <v>5.0199999999999996</v>
      </c>
      <c r="X26" s="55">
        <f t="shared" si="2"/>
        <v>5.01</v>
      </c>
      <c r="Y26" s="55">
        <f t="shared" si="3"/>
        <v>9.9999999999997868E-3</v>
      </c>
      <c r="Z26" s="55">
        <f t="shared" si="8"/>
        <v>9.9999999999997868E-3</v>
      </c>
      <c r="AA26" s="51">
        <v>69.786100000000005</v>
      </c>
      <c r="AB26" s="51">
        <f t="shared" si="9"/>
        <v>0.21389999999999532</v>
      </c>
      <c r="AC26" s="51">
        <v>49.255400000000002</v>
      </c>
      <c r="AD26" s="51">
        <f t="shared" si="10"/>
        <v>0.74459999999999837</v>
      </c>
      <c r="AE26" s="51">
        <v>6.0835999999999997</v>
      </c>
      <c r="AF26" s="51">
        <f t="shared" si="11"/>
        <v>1.0835999999999997</v>
      </c>
      <c r="AG26" s="55">
        <v>3.3519999999999999</v>
      </c>
      <c r="AH26" s="55">
        <v>3.32</v>
      </c>
      <c r="AI26" s="55">
        <f t="shared" si="12"/>
        <v>3.3359999999999999</v>
      </c>
      <c r="AJ26" s="55">
        <f t="shared" si="13"/>
        <v>2.2627416997969541E-2</v>
      </c>
      <c r="AK26" s="55">
        <v>3.96</v>
      </c>
      <c r="AL26" s="55">
        <v>4.9989999999999997</v>
      </c>
      <c r="AM26" s="55">
        <f t="shared" si="14"/>
        <v>4.4794999999999998</v>
      </c>
      <c r="AN26" s="55">
        <f t="shared" si="15"/>
        <v>0.7346839456528228</v>
      </c>
      <c r="AO26" s="55">
        <v>3.8210000000000002</v>
      </c>
      <c r="AP26" s="55">
        <v>3.89</v>
      </c>
      <c r="AQ26" s="55">
        <f t="shared" si="16"/>
        <v>3.8555000000000001</v>
      </c>
      <c r="AR26" s="55">
        <f t="shared" si="17"/>
        <v>4.8790367901871745E-2</v>
      </c>
      <c r="AS26" s="55">
        <v>4.6150000000000002</v>
      </c>
      <c r="AT26" s="55">
        <v>5.9589999999999996</v>
      </c>
      <c r="AU26" s="55">
        <f t="shared" si="18"/>
        <v>5.2869999999999999</v>
      </c>
      <c r="AV26" s="55">
        <f t="shared" si="19"/>
        <v>0.95035151391471662</v>
      </c>
      <c r="AW26" s="55">
        <v>14.257999999999999</v>
      </c>
      <c r="AX26" s="55">
        <v>15.302</v>
      </c>
      <c r="AY26" s="55">
        <f t="shared" si="20"/>
        <v>14.78</v>
      </c>
      <c r="AZ26" s="55">
        <f t="shared" si="21"/>
        <v>0.73821947955875589</v>
      </c>
      <c r="BA26" s="55">
        <v>21.18</v>
      </c>
      <c r="BB26" s="55">
        <v>21.564</v>
      </c>
      <c r="BC26" s="55">
        <f t="shared" si="22"/>
        <v>21.372</v>
      </c>
      <c r="BD26" s="55">
        <f t="shared" si="23"/>
        <v>0.27152900397563451</v>
      </c>
      <c r="BE26" s="2">
        <v>25.3</v>
      </c>
      <c r="BF26" s="2">
        <v>25.7</v>
      </c>
      <c r="BG26" s="2">
        <v>25.3</v>
      </c>
      <c r="BH26" s="37">
        <f t="shared" si="29"/>
        <v>25.433333333333334</v>
      </c>
      <c r="BI26" s="2">
        <f>_xlfn.STDEV.S(BE26:BG26)</f>
        <v>0.23094010767584949</v>
      </c>
      <c r="BJ26" s="8">
        <v>0.69</v>
      </c>
      <c r="BK26" s="8">
        <v>0.66</v>
      </c>
      <c r="BL26" s="8">
        <v>0.67</v>
      </c>
      <c r="BM26" s="8">
        <f t="shared" si="30"/>
        <v>0.67333333333333334</v>
      </c>
      <c r="BN26" s="9">
        <f t="shared" si="31"/>
        <v>1.527525231651942E-2</v>
      </c>
      <c r="BO26" s="10">
        <v>81</v>
      </c>
      <c r="BP26" s="10">
        <v>84</v>
      </c>
      <c r="BQ26" s="10">
        <v>5</v>
      </c>
      <c r="BR26" s="10">
        <v>2</v>
      </c>
      <c r="BS26" s="10">
        <f t="shared" si="28"/>
        <v>91</v>
      </c>
      <c r="BT26" s="10">
        <v>8.61</v>
      </c>
      <c r="BU26" s="10">
        <v>2.89</v>
      </c>
      <c r="BV26" s="10">
        <v>6.94</v>
      </c>
      <c r="BW26" s="38">
        <v>45994</v>
      </c>
      <c r="BX26" s="3" t="s">
        <v>84</v>
      </c>
      <c r="BY26" s="16"/>
    </row>
    <row r="27" spans="2:77" ht="14.25" x14ac:dyDescent="0.2">
      <c r="B27" s="4">
        <v>21</v>
      </c>
      <c r="C27" s="3">
        <v>190</v>
      </c>
      <c r="D27" s="3">
        <v>100</v>
      </c>
      <c r="E27" s="3">
        <v>0.1</v>
      </c>
      <c r="F27" s="3">
        <v>30</v>
      </c>
      <c r="G27" s="3" t="s">
        <v>83</v>
      </c>
      <c r="H27" s="3">
        <v>30</v>
      </c>
      <c r="I27" s="2">
        <v>69.84</v>
      </c>
      <c r="J27" s="2">
        <v>69.84</v>
      </c>
      <c r="K27" s="2">
        <v>69.819999999999993</v>
      </c>
      <c r="L27" s="54">
        <f t="shared" si="4"/>
        <v>69.833333333333329</v>
      </c>
      <c r="M27" s="54">
        <f t="shared" si="5"/>
        <v>1.1547005383798423E-2</v>
      </c>
      <c r="N27" s="54">
        <f t="shared" si="6"/>
        <v>0.1666666666666714</v>
      </c>
      <c r="O27" s="3">
        <v>49.77</v>
      </c>
      <c r="P27" s="3">
        <v>49.81</v>
      </c>
      <c r="Q27" s="3">
        <v>49.82</v>
      </c>
      <c r="R27" s="55">
        <f t="shared" si="0"/>
        <v>49.800000000000004</v>
      </c>
      <c r="S27" s="55">
        <f t="shared" si="1"/>
        <v>2.6457513110644669E-2</v>
      </c>
      <c r="T27" s="55">
        <f t="shared" si="7"/>
        <v>0.19999999999999574</v>
      </c>
      <c r="U27" s="3">
        <v>5.07</v>
      </c>
      <c r="V27" s="3">
        <v>5.07</v>
      </c>
      <c r="W27" s="3">
        <v>5.08</v>
      </c>
      <c r="X27" s="55">
        <f t="shared" si="2"/>
        <v>5.0733333333333333</v>
      </c>
      <c r="Y27" s="55">
        <f t="shared" si="3"/>
        <v>5.7735026918961348E-3</v>
      </c>
      <c r="Z27" s="55">
        <f t="shared" si="8"/>
        <v>7.333333333333325E-2</v>
      </c>
      <c r="AA27" s="51">
        <v>69.808300000000003</v>
      </c>
      <c r="AB27" s="51">
        <f t="shared" si="9"/>
        <v>0.19169999999999732</v>
      </c>
      <c r="AC27" s="51">
        <v>49.646700000000003</v>
      </c>
      <c r="AD27" s="51">
        <f t="shared" si="10"/>
        <v>0.35329999999999728</v>
      </c>
      <c r="AE27" s="51">
        <v>5.8227000000000002</v>
      </c>
      <c r="AF27" s="51">
        <f t="shared" si="11"/>
        <v>0.82270000000000021</v>
      </c>
      <c r="AG27" s="55">
        <v>5.1379999999999999</v>
      </c>
      <c r="AH27" s="55">
        <v>4.9779999999999998</v>
      </c>
      <c r="AI27" s="55">
        <f t="shared" si="12"/>
        <v>5.0579999999999998</v>
      </c>
      <c r="AJ27" s="55">
        <f t="shared" si="13"/>
        <v>0.1131370849898477</v>
      </c>
      <c r="AK27" s="55">
        <v>4.3570000000000002</v>
      </c>
      <c r="AL27" s="55">
        <v>5.5019999999999998</v>
      </c>
      <c r="AM27" s="55">
        <f t="shared" si="14"/>
        <v>4.9295</v>
      </c>
      <c r="AN27" s="55">
        <f t="shared" si="15"/>
        <v>0.80963726445859718</v>
      </c>
      <c r="AO27" s="55">
        <v>8.2929999999999993</v>
      </c>
      <c r="AP27" s="55">
        <v>7.5389999999999997</v>
      </c>
      <c r="AQ27" s="55">
        <f t="shared" si="16"/>
        <v>7.9159999999999995</v>
      </c>
      <c r="AR27" s="55">
        <f t="shared" si="17"/>
        <v>0.53315851301465655</v>
      </c>
      <c r="AS27" s="55">
        <v>6.7480000000000002</v>
      </c>
      <c r="AT27" s="55">
        <v>8.6219999999999999</v>
      </c>
      <c r="AU27" s="55">
        <f t="shared" si="18"/>
        <v>7.6850000000000005</v>
      </c>
      <c r="AV27" s="55">
        <f t="shared" si="19"/>
        <v>1.3251181079435848</v>
      </c>
      <c r="AW27" s="55">
        <v>41.115000000000002</v>
      </c>
      <c r="AX27" s="55">
        <v>32.021999999999998</v>
      </c>
      <c r="AY27" s="55">
        <f t="shared" si="20"/>
        <v>36.5685</v>
      </c>
      <c r="AZ27" s="55">
        <f t="shared" si="21"/>
        <v>6.4297219613292889</v>
      </c>
      <c r="BA27" s="55">
        <v>35.398000000000003</v>
      </c>
      <c r="BB27" s="55">
        <v>50.485999999999997</v>
      </c>
      <c r="BC27" s="55">
        <f t="shared" si="22"/>
        <v>42.942</v>
      </c>
      <c r="BD27" s="55">
        <f t="shared" si="23"/>
        <v>10.668827114542605</v>
      </c>
      <c r="BE27" s="2">
        <v>20.8</v>
      </c>
      <c r="BF27" s="2">
        <v>25</v>
      </c>
      <c r="BG27" s="2">
        <v>25.1</v>
      </c>
      <c r="BH27" s="37">
        <f t="shared" si="29"/>
        <v>23.633333333333336</v>
      </c>
      <c r="BI27" s="2">
        <f t="shared" ref="BI27:BI49" si="32">_xlfn.STDEV.S(BE27:BG27)</f>
        <v>2.4542480178933288</v>
      </c>
      <c r="BJ27" s="8">
        <v>0.77</v>
      </c>
      <c r="BK27" s="8">
        <v>0.62</v>
      </c>
      <c r="BL27" s="8">
        <v>0.65</v>
      </c>
      <c r="BM27" s="8">
        <f t="shared" si="30"/>
        <v>0.68</v>
      </c>
      <c r="BN27" s="9">
        <f t="shared" si="31"/>
        <v>7.9372539331937719E-2</v>
      </c>
      <c r="BO27" s="10">
        <v>113</v>
      </c>
      <c r="BP27" s="10">
        <v>117</v>
      </c>
      <c r="BQ27" s="10">
        <v>5</v>
      </c>
      <c r="BR27" s="10">
        <v>2</v>
      </c>
      <c r="BS27" s="10">
        <f t="shared" si="28"/>
        <v>124</v>
      </c>
      <c r="BT27" s="10">
        <v>11.67</v>
      </c>
      <c r="BU27" s="10">
        <v>3.91</v>
      </c>
      <c r="BV27" s="10">
        <v>9.41</v>
      </c>
      <c r="BW27" s="38">
        <v>45995</v>
      </c>
      <c r="BX27" s="3" t="s">
        <v>84</v>
      </c>
      <c r="BY27" s="16"/>
    </row>
    <row r="28" spans="2:77" ht="14.25" x14ac:dyDescent="0.2">
      <c r="B28" s="4">
        <v>22</v>
      </c>
      <c r="C28" s="3">
        <v>210</v>
      </c>
      <c r="D28" s="3">
        <v>200</v>
      </c>
      <c r="E28" s="3">
        <v>0.2</v>
      </c>
      <c r="F28" s="3">
        <v>120</v>
      </c>
      <c r="G28" s="3" t="s">
        <v>86</v>
      </c>
      <c r="H28" s="3">
        <v>30</v>
      </c>
      <c r="I28" s="2">
        <v>69.709999999999994</v>
      </c>
      <c r="J28" s="2">
        <v>69.709999999999994</v>
      </c>
      <c r="K28" s="2">
        <v>69.7</v>
      </c>
      <c r="L28" s="54">
        <f t="shared" si="4"/>
        <v>69.706666666666663</v>
      </c>
      <c r="M28" s="54">
        <f t="shared" si="5"/>
        <v>5.773502691891007E-3</v>
      </c>
      <c r="N28" s="54">
        <f t="shared" si="6"/>
        <v>0.29333333333333655</v>
      </c>
      <c r="O28" s="3">
        <v>49.67</v>
      </c>
      <c r="P28" s="3">
        <v>49.66</v>
      </c>
      <c r="Q28" s="3">
        <v>49.69</v>
      </c>
      <c r="R28" s="55">
        <f t="shared" si="0"/>
        <v>49.673333333333325</v>
      </c>
      <c r="S28" s="55">
        <f t="shared" si="1"/>
        <v>1.5275252316519529E-2</v>
      </c>
      <c r="T28" s="55">
        <f t="shared" si="7"/>
        <v>0.3266666666666751</v>
      </c>
      <c r="U28" s="3">
        <v>5.01</v>
      </c>
      <c r="V28" s="3">
        <v>5.0199999999999996</v>
      </c>
      <c r="W28" s="3">
        <v>5.04</v>
      </c>
      <c r="X28" s="55">
        <f t="shared" si="2"/>
        <v>5.0233333333333334</v>
      </c>
      <c r="Y28" s="55">
        <f t="shared" si="3"/>
        <v>1.5275252316519626E-2</v>
      </c>
      <c r="Z28" s="55">
        <f t="shared" si="8"/>
        <v>2.3333333333333428E-2</v>
      </c>
      <c r="AA28" s="51">
        <v>70.3827</v>
      </c>
      <c r="AB28" s="51">
        <f t="shared" si="9"/>
        <v>0.38269999999999982</v>
      </c>
      <c r="AC28" s="51">
        <v>49.564</v>
      </c>
      <c r="AD28" s="51">
        <f t="shared" si="10"/>
        <v>0.43599999999999994</v>
      </c>
      <c r="AE28" s="51">
        <v>5.65</v>
      </c>
      <c r="AF28" s="51">
        <f t="shared" si="11"/>
        <v>0.65000000000000036</v>
      </c>
      <c r="AG28" s="55">
        <v>6.6609999999999996</v>
      </c>
      <c r="AH28" s="55">
        <v>6.3209999999999997</v>
      </c>
      <c r="AI28" s="55">
        <f t="shared" si="12"/>
        <v>6.4909999999999997</v>
      </c>
      <c r="AJ28" s="55">
        <f t="shared" si="13"/>
        <v>0.24041630560342606</v>
      </c>
      <c r="AK28" s="55">
        <v>7.9290000000000003</v>
      </c>
      <c r="AL28" s="55">
        <v>8.0670000000000002</v>
      </c>
      <c r="AM28" s="55">
        <f t="shared" si="14"/>
        <v>7.9980000000000002</v>
      </c>
      <c r="AN28" s="55">
        <f t="shared" si="15"/>
        <v>9.758073580374349E-2</v>
      </c>
      <c r="AO28" s="55">
        <v>7.7210000000000001</v>
      </c>
      <c r="AP28" s="55">
        <v>7.4320000000000004</v>
      </c>
      <c r="AQ28" s="55">
        <f t="shared" si="16"/>
        <v>7.5765000000000002</v>
      </c>
      <c r="AR28" s="55">
        <f t="shared" si="17"/>
        <v>0.20435385976291204</v>
      </c>
      <c r="AS28" s="55">
        <v>9.1199999999999992</v>
      </c>
      <c r="AT28" s="55">
        <v>9.5250000000000004</v>
      </c>
      <c r="AU28" s="55">
        <f t="shared" si="18"/>
        <v>9.3224999999999998</v>
      </c>
      <c r="AV28" s="55">
        <f t="shared" si="19"/>
        <v>0.28637824638055254</v>
      </c>
      <c r="AW28" s="55">
        <v>28.777999999999999</v>
      </c>
      <c r="AX28" s="55">
        <v>28.852</v>
      </c>
      <c r="AY28" s="55">
        <f t="shared" si="20"/>
        <v>28.814999999999998</v>
      </c>
      <c r="AZ28" s="55">
        <f t="shared" si="21"/>
        <v>5.2325901807805664E-2</v>
      </c>
      <c r="BA28" s="55">
        <v>33.777000000000001</v>
      </c>
      <c r="BB28" s="55">
        <v>38.49</v>
      </c>
      <c r="BC28" s="55">
        <f t="shared" si="22"/>
        <v>36.133499999999998</v>
      </c>
      <c r="BD28" s="55">
        <f t="shared" si="23"/>
        <v>3.3325942597321991</v>
      </c>
      <c r="BE28" s="2">
        <v>24.3</v>
      </c>
      <c r="BF28" s="2">
        <v>25.4</v>
      </c>
      <c r="BG28" s="2">
        <v>25.1</v>
      </c>
      <c r="BH28" s="37">
        <f t="shared" si="29"/>
        <v>24.933333333333337</v>
      </c>
      <c r="BI28" s="2">
        <f t="shared" si="32"/>
        <v>0.56862407030773199</v>
      </c>
      <c r="BJ28" s="8">
        <v>0.66</v>
      </c>
      <c r="BK28" s="8">
        <v>0.64</v>
      </c>
      <c r="BL28" s="8">
        <v>0.65</v>
      </c>
      <c r="BM28" s="8">
        <f>AVERAGE(BJ28:BL28)</f>
        <v>0.65</v>
      </c>
      <c r="BN28" s="9">
        <f>_xlfn.STDEV.S(BJ28:BL28)</f>
        <v>1.0000000000000009E-2</v>
      </c>
      <c r="BO28" s="10">
        <v>21</v>
      </c>
      <c r="BP28" s="10">
        <v>25</v>
      </c>
      <c r="BQ28" s="10">
        <v>5</v>
      </c>
      <c r="BR28" s="10">
        <v>2</v>
      </c>
      <c r="BS28" s="10">
        <f t="shared" si="28"/>
        <v>32</v>
      </c>
      <c r="BT28" s="10">
        <v>13.03</v>
      </c>
      <c r="BU28" s="10">
        <v>4.37</v>
      </c>
      <c r="BV28" s="10">
        <v>10.51</v>
      </c>
      <c r="BW28" s="38">
        <v>45995</v>
      </c>
      <c r="BX28" s="3" t="s">
        <v>84</v>
      </c>
      <c r="BY28" s="16"/>
    </row>
    <row r="29" spans="2:77" ht="14.25" x14ac:dyDescent="0.2">
      <c r="B29" s="4">
        <v>23</v>
      </c>
      <c r="C29" s="3">
        <v>210</v>
      </c>
      <c r="D29" s="3">
        <v>200</v>
      </c>
      <c r="E29" s="3">
        <v>0.2</v>
      </c>
      <c r="F29" s="3">
        <v>120</v>
      </c>
      <c r="G29" s="3" t="s">
        <v>83</v>
      </c>
      <c r="H29" s="3">
        <v>10</v>
      </c>
      <c r="I29" s="2">
        <v>69.650000000000006</v>
      </c>
      <c r="J29" s="2">
        <v>69.66</v>
      </c>
      <c r="K29" s="2">
        <v>69.7</v>
      </c>
      <c r="L29" s="54">
        <f t="shared" si="4"/>
        <v>69.67</v>
      </c>
      <c r="M29" s="54">
        <f t="shared" si="5"/>
        <v>2.6457513110646015E-2</v>
      </c>
      <c r="N29" s="54">
        <f t="shared" si="6"/>
        <v>0.32999999999999829</v>
      </c>
      <c r="O29" s="3">
        <v>49.68</v>
      </c>
      <c r="P29" s="3">
        <v>49.64</v>
      </c>
      <c r="Q29" s="3">
        <v>49.7</v>
      </c>
      <c r="R29" s="55">
        <f t="shared" si="0"/>
        <v>49.673333333333325</v>
      </c>
      <c r="S29" s="55">
        <f t="shared" si="1"/>
        <v>3.0550504633039832E-2</v>
      </c>
      <c r="T29" s="55">
        <f t="shared" si="7"/>
        <v>0.3266666666666751</v>
      </c>
      <c r="U29" s="3">
        <v>5.03</v>
      </c>
      <c r="V29" s="3">
        <v>5.04</v>
      </c>
      <c r="W29" s="3">
        <v>5.0599999999999996</v>
      </c>
      <c r="X29" s="55">
        <f t="shared" si="2"/>
        <v>5.043333333333333</v>
      </c>
      <c r="Y29" s="55">
        <f t="shared" si="3"/>
        <v>1.5275252316519142E-2</v>
      </c>
      <c r="Z29" s="55">
        <f t="shared" si="8"/>
        <v>4.3333333333333002E-2</v>
      </c>
      <c r="AA29" s="51">
        <v>69.946399999999997</v>
      </c>
      <c r="AB29" s="51">
        <f t="shared" si="9"/>
        <v>5.3600000000002979E-2</v>
      </c>
      <c r="AC29" s="51">
        <v>49.141100000000002</v>
      </c>
      <c r="AD29" s="51">
        <f t="shared" si="10"/>
        <v>0.85889999999999844</v>
      </c>
      <c r="AE29" s="51">
        <v>4.8071999999999999</v>
      </c>
      <c r="AF29" s="51">
        <f t="shared" si="11"/>
        <v>0.19280000000000008</v>
      </c>
      <c r="AG29" s="55">
        <v>6.7709999999999999</v>
      </c>
      <c r="AH29" s="55">
        <v>6.3810000000000002</v>
      </c>
      <c r="AI29" s="55">
        <f>AVERAGE(AG29:AH29)</f>
        <v>6.5760000000000005</v>
      </c>
      <c r="AJ29" s="55">
        <f>_xlfn.STDEV.S(AG29:AH29)</f>
        <v>0.27577164466275333</v>
      </c>
      <c r="AK29" s="55">
        <v>7.7050000000000001</v>
      </c>
      <c r="AL29" s="55">
        <v>7.66</v>
      </c>
      <c r="AM29" s="55">
        <f t="shared" si="14"/>
        <v>7.6825000000000001</v>
      </c>
      <c r="AN29" s="55">
        <f t="shared" si="15"/>
        <v>3.1819805153394588E-2</v>
      </c>
      <c r="AO29" s="55">
        <v>7.6660000000000004</v>
      </c>
      <c r="AP29" s="55">
        <v>7.1609999999999996</v>
      </c>
      <c r="AQ29" s="55">
        <f>AVERAGE(AO29:AP29)</f>
        <v>7.4135</v>
      </c>
      <c r="AR29" s="55">
        <f>_xlfn.STDEV.S(AO29:AP29)</f>
        <v>0.35708892449920704</v>
      </c>
      <c r="AS29" s="55">
        <v>8.8079999999999998</v>
      </c>
      <c r="AT29" s="55">
        <v>8.7560000000000002</v>
      </c>
      <c r="AU29" s="55">
        <f t="shared" si="18"/>
        <v>8.782</v>
      </c>
      <c r="AV29" s="55">
        <f t="shared" si="19"/>
        <v>3.6769552621700188E-2</v>
      </c>
      <c r="AW29" s="55">
        <v>26.696999999999999</v>
      </c>
      <c r="AX29" s="55">
        <v>25.286000000000001</v>
      </c>
      <c r="AY29" s="55">
        <f t="shared" si="20"/>
        <v>25.991500000000002</v>
      </c>
      <c r="AZ29" s="55">
        <f t="shared" si="21"/>
        <v>0.99772766825421699</v>
      </c>
      <c r="BA29" s="55">
        <v>33.65</v>
      </c>
      <c r="BB29" s="55">
        <v>31.76</v>
      </c>
      <c r="BC29" s="55">
        <f t="shared" si="22"/>
        <v>32.704999999999998</v>
      </c>
      <c r="BD29" s="55">
        <f t="shared" si="23"/>
        <v>1.3364318164425728</v>
      </c>
      <c r="BE29" s="2">
        <v>23.8</v>
      </c>
      <c r="BF29" s="2">
        <v>24.3</v>
      </c>
      <c r="BG29" s="2">
        <v>24.9</v>
      </c>
      <c r="BH29" s="37">
        <f t="shared" si="29"/>
        <v>24.333333333333332</v>
      </c>
      <c r="BI29" s="2">
        <f t="shared" si="32"/>
        <v>0.55075705472860914</v>
      </c>
      <c r="BJ29" s="14">
        <v>0.67</v>
      </c>
      <c r="BK29" s="8">
        <v>0.65</v>
      </c>
      <c r="BL29" s="8">
        <v>0.63</v>
      </c>
      <c r="BM29" s="8">
        <f t="shared" si="30"/>
        <v>0.65</v>
      </c>
      <c r="BN29" s="9">
        <f t="shared" si="31"/>
        <v>2.0000000000000018E-2</v>
      </c>
      <c r="BO29" s="10">
        <v>17</v>
      </c>
      <c r="BP29" s="10">
        <v>21</v>
      </c>
      <c r="BQ29" s="10">
        <v>5</v>
      </c>
      <c r="BR29" s="10">
        <v>2</v>
      </c>
      <c r="BS29" s="10">
        <f t="shared" si="28"/>
        <v>28</v>
      </c>
      <c r="BT29" s="10">
        <v>10.36</v>
      </c>
      <c r="BU29" s="10">
        <v>3.47</v>
      </c>
      <c r="BV29" s="10">
        <v>8.35</v>
      </c>
      <c r="BW29" s="38">
        <v>45995</v>
      </c>
      <c r="BX29" s="3" t="s">
        <v>84</v>
      </c>
      <c r="BY29" s="16"/>
    </row>
    <row r="30" spans="2:77" ht="14.25" x14ac:dyDescent="0.2">
      <c r="B30" s="4">
        <v>24</v>
      </c>
      <c r="C30" s="3">
        <v>210</v>
      </c>
      <c r="D30" s="3">
        <v>200</v>
      </c>
      <c r="E30" s="3">
        <v>0.2</v>
      </c>
      <c r="F30" s="3">
        <v>120</v>
      </c>
      <c r="G30" s="3" t="s">
        <v>86</v>
      </c>
      <c r="H30" s="3">
        <v>10</v>
      </c>
      <c r="I30" s="2">
        <v>69.66</v>
      </c>
      <c r="J30" s="2">
        <v>69.67</v>
      </c>
      <c r="K30" s="2">
        <v>69.7</v>
      </c>
      <c r="L30" s="54">
        <f t="shared" si="4"/>
        <v>69.676666666666662</v>
      </c>
      <c r="M30" s="54">
        <f t="shared" si="5"/>
        <v>2.0816659994664012E-2</v>
      </c>
      <c r="N30" s="54">
        <f t="shared" si="6"/>
        <v>0.32333333333333769</v>
      </c>
      <c r="O30" s="3">
        <v>49.65</v>
      </c>
      <c r="P30" s="3">
        <v>49.68</v>
      </c>
      <c r="Q30" s="3">
        <v>49.67</v>
      </c>
      <c r="R30" s="55">
        <f t="shared" si="0"/>
        <v>49.666666666666664</v>
      </c>
      <c r="S30" s="55">
        <f t="shared" si="1"/>
        <v>1.5275252316520303E-2</v>
      </c>
      <c r="T30" s="55">
        <f t="shared" si="7"/>
        <v>0.3333333333333357</v>
      </c>
      <c r="U30" s="3">
        <v>5.05</v>
      </c>
      <c r="V30" s="3">
        <v>5</v>
      </c>
      <c r="W30" s="3">
        <v>5.01</v>
      </c>
      <c r="X30" s="55">
        <f t="shared" si="2"/>
        <v>5.0200000000000005</v>
      </c>
      <c r="Y30" s="55">
        <f t="shared" si="3"/>
        <v>2.6457513110645845E-2</v>
      </c>
      <c r="Z30" s="55">
        <f t="shared" si="8"/>
        <v>2.0000000000000462E-2</v>
      </c>
      <c r="AA30" s="51">
        <v>69.631399999999999</v>
      </c>
      <c r="AB30" s="51">
        <f t="shared" si="9"/>
        <v>0.3686000000000007</v>
      </c>
      <c r="AC30" s="51">
        <v>49.1995</v>
      </c>
      <c r="AD30" s="51">
        <f t="shared" si="10"/>
        <v>0.80049999999999955</v>
      </c>
      <c r="AE30" s="51">
        <v>6.3262999999999998</v>
      </c>
      <c r="AF30" s="51">
        <f t="shared" si="11"/>
        <v>1.3262999999999998</v>
      </c>
      <c r="AG30" s="55">
        <v>6.8120000000000003</v>
      </c>
      <c r="AH30" s="55">
        <v>6.7409999999999997</v>
      </c>
      <c r="AI30" s="55">
        <f t="shared" si="12"/>
        <v>6.7765000000000004</v>
      </c>
      <c r="AJ30" s="55">
        <f t="shared" si="13"/>
        <v>5.0204581464245307E-2</v>
      </c>
      <c r="AK30" s="55">
        <v>7.117</v>
      </c>
      <c r="AL30" s="55">
        <v>7.3869999999999996</v>
      </c>
      <c r="AM30" s="55">
        <f t="shared" si="14"/>
        <v>7.2519999999999998</v>
      </c>
      <c r="AN30" s="55">
        <f t="shared" si="15"/>
        <v>0.19091883092036754</v>
      </c>
      <c r="AO30" s="55">
        <v>7.7089999999999996</v>
      </c>
      <c r="AP30" s="55">
        <v>7.617</v>
      </c>
      <c r="AQ30" s="55">
        <f t="shared" si="16"/>
        <v>7.6630000000000003</v>
      </c>
      <c r="AR30" s="55">
        <f t="shared" si="17"/>
        <v>6.5053823869162114E-2</v>
      </c>
      <c r="AS30" s="55">
        <v>8.2509999999999994</v>
      </c>
      <c r="AT30" s="55">
        <v>8.4440000000000008</v>
      </c>
      <c r="AU30" s="55">
        <f t="shared" si="18"/>
        <v>8.3475000000000001</v>
      </c>
      <c r="AV30" s="55">
        <f t="shared" si="19"/>
        <v>0.13647160876900466</v>
      </c>
      <c r="AW30" s="55">
        <v>28.751000000000001</v>
      </c>
      <c r="AX30" s="55">
        <v>27.76</v>
      </c>
      <c r="AY30" s="55">
        <f t="shared" si="20"/>
        <v>28.255500000000001</v>
      </c>
      <c r="AZ30" s="55">
        <f t="shared" si="21"/>
        <v>0.70074282015586831</v>
      </c>
      <c r="BA30" s="55">
        <v>31.303999999999998</v>
      </c>
      <c r="BB30" s="55">
        <v>31.984999999999999</v>
      </c>
      <c r="BC30" s="55">
        <f t="shared" si="22"/>
        <v>31.644500000000001</v>
      </c>
      <c r="BD30" s="55">
        <f t="shared" si="23"/>
        <v>0.48153971798803952</v>
      </c>
      <c r="BE30" s="2">
        <v>24.4</v>
      </c>
      <c r="BF30" s="2">
        <v>24.7</v>
      </c>
      <c r="BG30" s="2">
        <v>25.2</v>
      </c>
      <c r="BH30" s="37">
        <f t="shared" si="29"/>
        <v>24.766666666666666</v>
      </c>
      <c r="BI30" s="2">
        <f t="shared" si="32"/>
        <v>0.40414518843273839</v>
      </c>
      <c r="BJ30" s="8">
        <v>0.64</v>
      </c>
      <c r="BK30" s="8">
        <v>0.64</v>
      </c>
      <c r="BL30" s="8">
        <v>0.62</v>
      </c>
      <c r="BM30" s="8">
        <f t="shared" si="30"/>
        <v>0.6333333333333333</v>
      </c>
      <c r="BN30" s="9">
        <f t="shared" si="31"/>
        <v>1.1547005383792525E-2</v>
      </c>
      <c r="BO30" s="10">
        <v>17</v>
      </c>
      <c r="BP30" s="10">
        <v>21</v>
      </c>
      <c r="BQ30" s="10">
        <v>5</v>
      </c>
      <c r="BR30" s="10">
        <v>2</v>
      </c>
      <c r="BS30" s="10">
        <f t="shared" si="28"/>
        <v>28</v>
      </c>
      <c r="BT30" s="10">
        <v>10.36</v>
      </c>
      <c r="BU30" s="10">
        <v>3.47</v>
      </c>
      <c r="BV30" s="10">
        <v>8.35</v>
      </c>
      <c r="BW30" s="38">
        <v>45995</v>
      </c>
      <c r="BX30" s="3" t="s">
        <v>84</v>
      </c>
      <c r="BY30" s="16"/>
    </row>
    <row r="31" spans="2:77" ht="14.25" x14ac:dyDescent="0.2">
      <c r="B31" s="4">
        <v>25</v>
      </c>
      <c r="C31" s="3">
        <v>210</v>
      </c>
      <c r="D31" s="3">
        <v>200</v>
      </c>
      <c r="E31" s="3">
        <v>0.2</v>
      </c>
      <c r="F31" s="3">
        <v>30</v>
      </c>
      <c r="G31" s="3" t="s">
        <v>83</v>
      </c>
      <c r="H31" s="3">
        <v>10</v>
      </c>
      <c r="I31" s="2">
        <v>69.77</v>
      </c>
      <c r="J31" s="2">
        <v>69.8</v>
      </c>
      <c r="K31" s="2">
        <v>69.78</v>
      </c>
      <c r="L31" s="54">
        <f t="shared" si="4"/>
        <v>69.783333333333331</v>
      </c>
      <c r="M31" s="54">
        <f t="shared" si="5"/>
        <v>1.5275252316519527E-2</v>
      </c>
      <c r="N31" s="54">
        <f t="shared" si="6"/>
        <v>0.21666666666666856</v>
      </c>
      <c r="O31" s="3">
        <v>49.83</v>
      </c>
      <c r="P31" s="3">
        <v>49.83</v>
      </c>
      <c r="Q31" s="3">
        <v>49.78</v>
      </c>
      <c r="R31" s="55">
        <f t="shared" si="0"/>
        <v>49.813333333333333</v>
      </c>
      <c r="S31" s="55">
        <f t="shared" si="1"/>
        <v>2.8867513459479646E-2</v>
      </c>
      <c r="T31" s="55">
        <f t="shared" si="7"/>
        <v>0.18666666666666742</v>
      </c>
      <c r="U31" s="3">
        <v>5</v>
      </c>
      <c r="V31" s="3">
        <v>4.99</v>
      </c>
      <c r="W31" s="3">
        <v>5</v>
      </c>
      <c r="X31" s="55">
        <f t="shared" si="2"/>
        <v>4.996666666666667</v>
      </c>
      <c r="Y31" s="55">
        <f t="shared" si="3"/>
        <v>5.7735026918961348E-3</v>
      </c>
      <c r="Z31" s="55">
        <f t="shared" si="8"/>
        <v>3.3333333333329662E-3</v>
      </c>
      <c r="AA31" s="51">
        <v>70.565700000000007</v>
      </c>
      <c r="AB31" s="51">
        <f t="shared" si="9"/>
        <v>0.56570000000000675</v>
      </c>
      <c r="AC31" s="51">
        <v>49.742899999999999</v>
      </c>
      <c r="AD31" s="51">
        <f t="shared" si="10"/>
        <v>0.25710000000000122</v>
      </c>
      <c r="AE31" s="51">
        <v>5.9424000000000001</v>
      </c>
      <c r="AF31" s="51">
        <f t="shared" si="11"/>
        <v>0.94240000000000013</v>
      </c>
      <c r="AG31" s="55">
        <v>7.2839999999999998</v>
      </c>
      <c r="AH31" s="55">
        <v>7.0469999999999997</v>
      </c>
      <c r="AI31" s="55">
        <f t="shared" si="12"/>
        <v>7.1654999999999998</v>
      </c>
      <c r="AJ31" s="55">
        <f t="shared" si="13"/>
        <v>0.16758430714121184</v>
      </c>
      <c r="AK31" s="55">
        <v>7.8730000000000002</v>
      </c>
      <c r="AL31" s="55">
        <v>7.5389999999999997</v>
      </c>
      <c r="AM31" s="55">
        <f t="shared" si="14"/>
        <v>7.7059999999999995</v>
      </c>
      <c r="AN31" s="55">
        <f t="shared" si="15"/>
        <v>0.23617366491630723</v>
      </c>
      <c r="AO31" s="55">
        <v>8.2219999999999995</v>
      </c>
      <c r="AP31" s="55">
        <v>7.9290000000000003</v>
      </c>
      <c r="AQ31" s="55">
        <f t="shared" si="16"/>
        <v>8.0754999999999999</v>
      </c>
      <c r="AR31" s="55">
        <f t="shared" si="17"/>
        <v>0.20718228688765791</v>
      </c>
      <c r="AS31" s="55">
        <v>9.1289999999999996</v>
      </c>
      <c r="AT31" s="55">
        <v>8.5679999999999996</v>
      </c>
      <c r="AU31" s="55">
        <f t="shared" si="18"/>
        <v>8.8484999999999996</v>
      </c>
      <c r="AV31" s="55">
        <f t="shared" si="19"/>
        <v>0.39668690424565312</v>
      </c>
      <c r="AW31" s="55">
        <v>28.53</v>
      </c>
      <c r="AX31" s="55">
        <v>26.678999999999998</v>
      </c>
      <c r="AY31" s="55">
        <f t="shared" si="20"/>
        <v>27.604500000000002</v>
      </c>
      <c r="AZ31" s="55">
        <f t="shared" si="21"/>
        <v>1.3088546519763014</v>
      </c>
      <c r="BA31" s="55">
        <v>38.436999999999998</v>
      </c>
      <c r="BB31" s="55">
        <v>32.078000000000003</v>
      </c>
      <c r="BC31" s="55">
        <f t="shared" si="22"/>
        <v>35.2575</v>
      </c>
      <c r="BD31" s="55">
        <f t="shared" si="23"/>
        <v>4.4964920215652517</v>
      </c>
      <c r="BE31" s="2">
        <v>25</v>
      </c>
      <c r="BF31" s="2">
        <v>25.5</v>
      </c>
      <c r="BG31" s="2">
        <v>25.4</v>
      </c>
      <c r="BH31" s="37">
        <f t="shared" si="29"/>
        <v>25.3</v>
      </c>
      <c r="BI31" s="2">
        <f t="shared" si="32"/>
        <v>0.26457513110645881</v>
      </c>
      <c r="BJ31" s="8">
        <v>0.62</v>
      </c>
      <c r="BK31" s="8">
        <v>0.62</v>
      </c>
      <c r="BL31" s="8">
        <v>0.65</v>
      </c>
      <c r="BM31" s="8">
        <f t="shared" si="30"/>
        <v>0.63</v>
      </c>
      <c r="BN31" s="9">
        <f t="shared" si="31"/>
        <v>1.732050807568879E-2</v>
      </c>
      <c r="BO31" s="10">
        <v>53</v>
      </c>
      <c r="BP31" s="10">
        <v>57</v>
      </c>
      <c r="BQ31" s="10">
        <v>5</v>
      </c>
      <c r="BR31" s="10">
        <v>2</v>
      </c>
      <c r="BS31" s="10">
        <f t="shared" si="28"/>
        <v>64</v>
      </c>
      <c r="BT31" s="10">
        <v>10.36</v>
      </c>
      <c r="BU31" s="10">
        <v>3.47</v>
      </c>
      <c r="BV31" s="10">
        <v>8.35</v>
      </c>
      <c r="BW31" s="38">
        <v>45995</v>
      </c>
      <c r="BX31" s="3" t="s">
        <v>84</v>
      </c>
      <c r="BY31" s="16"/>
    </row>
    <row r="32" spans="2:77" ht="14.25" x14ac:dyDescent="0.2">
      <c r="B32" s="4">
        <v>26</v>
      </c>
      <c r="C32" s="3">
        <v>200</v>
      </c>
      <c r="D32" s="3">
        <v>150</v>
      </c>
      <c r="E32" s="3">
        <v>0.15</v>
      </c>
      <c r="F32" s="3">
        <v>75</v>
      </c>
      <c r="G32" s="3" t="s">
        <v>86</v>
      </c>
      <c r="H32" s="3">
        <v>20</v>
      </c>
      <c r="I32" s="2">
        <v>69.8</v>
      </c>
      <c r="J32" s="2">
        <v>69.84</v>
      </c>
      <c r="K32" s="2">
        <v>69.86</v>
      </c>
      <c r="L32" s="54">
        <f t="shared" si="4"/>
        <v>69.833333333333329</v>
      </c>
      <c r="M32" s="54">
        <f t="shared" si="5"/>
        <v>3.0550504633040605E-2</v>
      </c>
      <c r="N32" s="54">
        <f t="shared" si="6"/>
        <v>0.1666666666666714</v>
      </c>
      <c r="O32" s="3">
        <v>49.73</v>
      </c>
      <c r="P32" s="3">
        <v>49.73</v>
      </c>
      <c r="Q32" s="3">
        <v>49.79</v>
      </c>
      <c r="R32" s="55">
        <f t="shared" si="0"/>
        <v>49.75</v>
      </c>
      <c r="S32" s="55">
        <f t="shared" si="1"/>
        <v>3.4641016151378858E-2</v>
      </c>
      <c r="T32" s="55">
        <f t="shared" si="7"/>
        <v>0.25</v>
      </c>
      <c r="U32" s="3">
        <v>5.05</v>
      </c>
      <c r="V32" s="3">
        <v>5.0599999999999996</v>
      </c>
      <c r="W32" s="3">
        <v>5.04</v>
      </c>
      <c r="X32" s="55">
        <f t="shared" si="2"/>
        <v>5.05</v>
      </c>
      <c r="Y32" s="55">
        <f t="shared" si="3"/>
        <v>9.9999999999997868E-3</v>
      </c>
      <c r="Z32" s="55">
        <f t="shared" si="8"/>
        <v>4.9999999999999822E-2</v>
      </c>
      <c r="AA32" s="51">
        <v>69.8292</v>
      </c>
      <c r="AB32" s="51">
        <f t="shared" si="9"/>
        <v>0.17079999999999984</v>
      </c>
      <c r="AC32" s="51">
        <v>49.522199999999998</v>
      </c>
      <c r="AD32" s="51">
        <f t="shared" si="10"/>
        <v>0.477800000000002</v>
      </c>
      <c r="AE32" s="51">
        <v>4.9832000000000001</v>
      </c>
      <c r="AF32" s="51">
        <f t="shared" si="11"/>
        <v>1.6799999999999926E-2</v>
      </c>
      <c r="AG32" s="55">
        <v>8.6479999999999997</v>
      </c>
      <c r="AH32" s="55">
        <v>7.58</v>
      </c>
      <c r="AI32" s="55">
        <f t="shared" si="12"/>
        <v>8.1140000000000008</v>
      </c>
      <c r="AJ32" s="55">
        <f t="shared" si="13"/>
        <v>0.75519004230723252</v>
      </c>
      <c r="AK32" s="55">
        <v>10.904999999999999</v>
      </c>
      <c r="AL32" s="55">
        <v>11.183999999999999</v>
      </c>
      <c r="AM32" s="55">
        <f t="shared" si="14"/>
        <v>11.044499999999999</v>
      </c>
      <c r="AN32" s="55">
        <f t="shared" si="15"/>
        <v>0.1972827919510467</v>
      </c>
      <c r="AO32" s="55">
        <v>13.162000000000001</v>
      </c>
      <c r="AP32" s="55">
        <v>12.087</v>
      </c>
      <c r="AQ32" s="55">
        <f t="shared" si="16"/>
        <v>12.624500000000001</v>
      </c>
      <c r="AR32" s="55">
        <f t="shared" si="17"/>
        <v>0.76013978977553931</v>
      </c>
      <c r="AS32" s="55">
        <v>14.948</v>
      </c>
      <c r="AT32" s="55">
        <v>15.458</v>
      </c>
      <c r="AU32" s="55">
        <f t="shared" si="18"/>
        <v>15.202999999999999</v>
      </c>
      <c r="AV32" s="55">
        <f t="shared" si="19"/>
        <v>0.36062445840513907</v>
      </c>
      <c r="AW32" s="55">
        <v>62.243000000000002</v>
      </c>
      <c r="AX32" s="55">
        <v>58.243000000000002</v>
      </c>
      <c r="AY32" s="55">
        <f t="shared" si="20"/>
        <v>60.243000000000002</v>
      </c>
      <c r="AZ32" s="55">
        <f t="shared" si="21"/>
        <v>2.8284271247461903</v>
      </c>
      <c r="BA32" s="55">
        <v>78.962000000000003</v>
      </c>
      <c r="BB32" s="55">
        <v>71.122</v>
      </c>
      <c r="BC32" s="55">
        <f t="shared" si="22"/>
        <v>75.042000000000002</v>
      </c>
      <c r="BD32" s="55">
        <f t="shared" si="23"/>
        <v>5.5437171645025352</v>
      </c>
      <c r="BE32" s="2">
        <v>25.3</v>
      </c>
      <c r="BF32" s="2">
        <v>26</v>
      </c>
      <c r="BG32" s="2">
        <v>25.3</v>
      </c>
      <c r="BH32" s="37">
        <f t="shared" si="29"/>
        <v>25.533333333333331</v>
      </c>
      <c r="BI32" s="2">
        <f t="shared" si="32"/>
        <v>0.40414518843273761</v>
      </c>
      <c r="BJ32" s="8">
        <v>0.66</v>
      </c>
      <c r="BK32" s="8">
        <v>0.65</v>
      </c>
      <c r="BL32" s="8">
        <v>0.65</v>
      </c>
      <c r="BM32" s="8">
        <f t="shared" si="30"/>
        <v>0.65333333333333332</v>
      </c>
      <c r="BN32" s="9">
        <f t="shared" si="31"/>
        <v>5.7735026918962623E-3</v>
      </c>
      <c r="BO32" s="10">
        <v>30</v>
      </c>
      <c r="BP32" s="10">
        <v>34</v>
      </c>
      <c r="BQ32" s="10">
        <v>5</v>
      </c>
      <c r="BR32" s="10">
        <v>2</v>
      </c>
      <c r="BS32" s="10">
        <f t="shared" si="28"/>
        <v>41</v>
      </c>
      <c r="BT32" s="10">
        <v>10.39</v>
      </c>
      <c r="BU32" s="10">
        <v>3.48</v>
      </c>
      <c r="BV32" s="10">
        <v>8.3800000000000008</v>
      </c>
      <c r="BW32" s="38">
        <v>45995</v>
      </c>
      <c r="BX32" s="3" t="s">
        <v>84</v>
      </c>
      <c r="BY32" s="16"/>
    </row>
    <row r="33" spans="2:77" ht="14.25" x14ac:dyDescent="0.2">
      <c r="B33" s="4">
        <v>27</v>
      </c>
      <c r="C33" s="3">
        <v>210</v>
      </c>
      <c r="D33" s="3">
        <v>200</v>
      </c>
      <c r="E33" s="3">
        <v>0.2</v>
      </c>
      <c r="F33" s="3">
        <v>30</v>
      </c>
      <c r="G33" s="3" t="s">
        <v>86</v>
      </c>
      <c r="H33" s="3">
        <v>30</v>
      </c>
      <c r="I33" s="2">
        <v>69.78</v>
      </c>
      <c r="J33" s="2">
        <v>69.81</v>
      </c>
      <c r="K33" s="2">
        <v>69.81</v>
      </c>
      <c r="L33" s="54">
        <f t="shared" si="4"/>
        <v>69.8</v>
      </c>
      <c r="M33" s="54">
        <f t="shared" si="5"/>
        <v>1.7320508075689429E-2</v>
      </c>
      <c r="N33" s="54">
        <f t="shared" si="6"/>
        <v>0.20000000000000284</v>
      </c>
      <c r="O33" s="3">
        <v>49.78</v>
      </c>
      <c r="P33" s="3">
        <v>49.75</v>
      </c>
      <c r="Q33" s="3">
        <v>49.81</v>
      </c>
      <c r="R33" s="55">
        <f t="shared" si="0"/>
        <v>49.78</v>
      </c>
      <c r="S33" s="55">
        <f t="shared" si="1"/>
        <v>3.0000000000001137E-2</v>
      </c>
      <c r="T33" s="55">
        <f t="shared" si="7"/>
        <v>0.21999999999999886</v>
      </c>
      <c r="U33" s="3">
        <v>5</v>
      </c>
      <c r="V33" s="3">
        <v>5</v>
      </c>
      <c r="W33" s="3">
        <v>5.0199999999999996</v>
      </c>
      <c r="X33" s="55">
        <f t="shared" si="2"/>
        <v>5.0066666666666668</v>
      </c>
      <c r="Y33" s="55">
        <f t="shared" si="3"/>
        <v>1.154700538379227E-2</v>
      </c>
      <c r="Z33" s="55">
        <f t="shared" si="8"/>
        <v>6.6666666666668206E-3</v>
      </c>
      <c r="AA33" s="51">
        <v>69.778899999999993</v>
      </c>
      <c r="AB33" s="51">
        <f t="shared" si="9"/>
        <v>0.22110000000000696</v>
      </c>
      <c r="AC33" s="51">
        <v>51.236400000000003</v>
      </c>
      <c r="AD33" s="51">
        <f t="shared" si="10"/>
        <v>1.2364000000000033</v>
      </c>
      <c r="AE33" s="51">
        <v>5.5602999999999998</v>
      </c>
      <c r="AF33" s="51">
        <f t="shared" si="11"/>
        <v>0.5602999999999998</v>
      </c>
      <c r="AG33" s="55">
        <v>6.4610000000000003</v>
      </c>
      <c r="AH33" s="55">
        <v>6.19</v>
      </c>
      <c r="AI33" s="55">
        <f t="shared" si="12"/>
        <v>6.3254999999999999</v>
      </c>
      <c r="AJ33" s="55">
        <f t="shared" si="13"/>
        <v>0.19162593770155431</v>
      </c>
      <c r="AK33" s="55">
        <v>7.8449999999999998</v>
      </c>
      <c r="AL33" s="55">
        <v>7.2850000000000001</v>
      </c>
      <c r="AM33" s="55">
        <f t="shared" si="14"/>
        <v>7.5649999999999995</v>
      </c>
      <c r="AN33" s="55">
        <f t="shared" si="15"/>
        <v>0.39597979746446632</v>
      </c>
      <c r="AO33" s="55">
        <v>7.89</v>
      </c>
      <c r="AP33" s="55">
        <v>7.1589999999999998</v>
      </c>
      <c r="AQ33" s="55">
        <f t="shared" si="16"/>
        <v>7.5244999999999997</v>
      </c>
      <c r="AR33" s="55">
        <f t="shared" si="17"/>
        <v>0.51689505704736616</v>
      </c>
      <c r="AS33" s="55">
        <v>9.2289999999999992</v>
      </c>
      <c r="AT33" s="55">
        <v>8.3450000000000006</v>
      </c>
      <c r="AU33" s="55">
        <f t="shared" si="18"/>
        <v>8.786999999999999</v>
      </c>
      <c r="AV33" s="55">
        <f t="shared" si="19"/>
        <v>0.62508239456890702</v>
      </c>
      <c r="AW33" s="55">
        <v>35.043999999999997</v>
      </c>
      <c r="AX33" s="55">
        <v>27.42</v>
      </c>
      <c r="AY33" s="55">
        <f t="shared" si="20"/>
        <v>31.231999999999999</v>
      </c>
      <c r="AZ33" s="55">
        <f t="shared" si="21"/>
        <v>5.3909820997662363</v>
      </c>
      <c r="BA33" s="55">
        <v>36.505000000000003</v>
      </c>
      <c r="BB33" s="55">
        <v>31.861000000000001</v>
      </c>
      <c r="BC33" s="55">
        <f t="shared" si="22"/>
        <v>34.183</v>
      </c>
      <c r="BD33" s="55">
        <f t="shared" si="23"/>
        <v>3.2838038918303281</v>
      </c>
      <c r="BE33" s="2">
        <v>24.3</v>
      </c>
      <c r="BF33" s="2">
        <v>25.6</v>
      </c>
      <c r="BG33" s="2">
        <v>25.3</v>
      </c>
      <c r="BH33" s="37">
        <f t="shared" si="29"/>
        <v>25.066666666666666</v>
      </c>
      <c r="BI33" s="2">
        <f t="shared" si="32"/>
        <v>0.68068592855540477</v>
      </c>
      <c r="BJ33" s="8">
        <v>0.68</v>
      </c>
      <c r="BK33" s="8">
        <v>0.63</v>
      </c>
      <c r="BL33" s="8">
        <v>0.63</v>
      </c>
      <c r="BM33" s="8">
        <f t="shared" si="30"/>
        <v>0.64666666666666661</v>
      </c>
      <c r="BN33" s="9">
        <f t="shared" si="31"/>
        <v>2.8867513459481315E-2</v>
      </c>
      <c r="BO33" s="10">
        <v>68</v>
      </c>
      <c r="BP33" s="10">
        <v>72</v>
      </c>
      <c r="BQ33" s="10">
        <v>5</v>
      </c>
      <c r="BR33" s="10">
        <v>2</v>
      </c>
      <c r="BS33" s="10">
        <f t="shared" si="28"/>
        <v>79</v>
      </c>
      <c r="BT33" s="10">
        <v>13.03</v>
      </c>
      <c r="BU33" s="10">
        <v>4.37</v>
      </c>
      <c r="BV33" s="10">
        <v>10.51</v>
      </c>
      <c r="BW33" s="38">
        <v>45995</v>
      </c>
      <c r="BX33" s="3" t="s">
        <v>84</v>
      </c>
      <c r="BY33" s="16"/>
    </row>
    <row r="34" spans="2:77" ht="14.25" x14ac:dyDescent="0.2">
      <c r="B34" s="63">
        <v>28</v>
      </c>
      <c r="C34" s="3">
        <v>210</v>
      </c>
      <c r="D34" s="3">
        <v>100</v>
      </c>
      <c r="E34" s="3">
        <v>0.1</v>
      </c>
      <c r="F34" s="3">
        <v>30</v>
      </c>
      <c r="G34" s="3" t="s">
        <v>86</v>
      </c>
      <c r="H34" s="3">
        <v>30</v>
      </c>
      <c r="I34" s="2">
        <v>69.91</v>
      </c>
      <c r="J34" s="2">
        <v>69.900000000000006</v>
      </c>
      <c r="K34" s="2">
        <v>69.92</v>
      </c>
      <c r="L34" s="54">
        <f t="shared" si="4"/>
        <v>69.910000000000011</v>
      </c>
      <c r="M34" s="54">
        <f t="shared" si="5"/>
        <v>9.9999999999980105E-3</v>
      </c>
      <c r="N34" s="54">
        <f t="shared" si="6"/>
        <v>8.99999999999892E-2</v>
      </c>
      <c r="O34" s="3">
        <v>49.82</v>
      </c>
      <c r="P34" s="3">
        <v>49.83</v>
      </c>
      <c r="Q34" s="3">
        <v>49.84</v>
      </c>
      <c r="R34" s="55">
        <f t="shared" si="0"/>
        <v>49.830000000000005</v>
      </c>
      <c r="S34" s="55">
        <f t="shared" si="1"/>
        <v>1.0000000000001563E-2</v>
      </c>
      <c r="T34" s="55">
        <f t="shared" si="7"/>
        <v>0.1699999999999946</v>
      </c>
      <c r="U34" s="3">
        <v>5.04</v>
      </c>
      <c r="V34" s="3">
        <v>5.05</v>
      </c>
      <c r="W34" s="3">
        <v>5.0599999999999996</v>
      </c>
      <c r="X34" s="55">
        <f t="shared" si="2"/>
        <v>5.05</v>
      </c>
      <c r="Y34" s="55">
        <f t="shared" si="3"/>
        <v>9.9999999999997868E-3</v>
      </c>
      <c r="Z34" s="55">
        <f t="shared" si="8"/>
        <v>4.9999999999999822E-2</v>
      </c>
      <c r="AA34" s="51">
        <v>69.7684</v>
      </c>
      <c r="AB34" s="51">
        <f t="shared" si="9"/>
        <v>0.23160000000000025</v>
      </c>
      <c r="AC34" s="51">
        <v>49.6021</v>
      </c>
      <c r="AD34" s="51">
        <f t="shared" si="10"/>
        <v>0.39789999999999992</v>
      </c>
      <c r="AE34" s="51">
        <v>5.0881999999999996</v>
      </c>
      <c r="AF34" s="51">
        <f t="shared" si="11"/>
        <v>8.8199999999999612E-2</v>
      </c>
      <c r="AG34" s="55">
        <v>8.0139999999999993</v>
      </c>
      <c r="AH34" s="64" t="s">
        <v>87</v>
      </c>
      <c r="AI34" s="55"/>
      <c r="AJ34" s="55"/>
      <c r="AK34" s="55">
        <v>5.5549999999999997</v>
      </c>
      <c r="AL34" s="55">
        <v>5.4649999999999999</v>
      </c>
      <c r="AM34" s="55">
        <f t="shared" si="14"/>
        <v>5.51</v>
      </c>
      <c r="AN34" s="55">
        <f t="shared" si="15"/>
        <v>6.3639610306789177E-2</v>
      </c>
      <c r="AO34" s="55">
        <v>11.5</v>
      </c>
      <c r="AP34" s="64" t="s">
        <v>88</v>
      </c>
      <c r="AQ34" s="55"/>
      <c r="AR34" s="55"/>
      <c r="AS34" s="55">
        <v>8.5299999999999994</v>
      </c>
      <c r="AT34" s="55">
        <v>8.3580000000000005</v>
      </c>
      <c r="AU34" s="55">
        <f t="shared" si="18"/>
        <v>8.4439999999999991</v>
      </c>
      <c r="AV34" s="55">
        <f t="shared" si="19"/>
        <v>0.12162236636408534</v>
      </c>
      <c r="AW34" s="55">
        <v>44.511000000000003</v>
      </c>
      <c r="AX34" s="64" t="s">
        <v>89</v>
      </c>
      <c r="AY34" s="55"/>
      <c r="AZ34" s="55"/>
      <c r="BA34" s="55">
        <v>39.786000000000001</v>
      </c>
      <c r="BB34" s="55">
        <v>39.408000000000001</v>
      </c>
      <c r="BC34" s="55">
        <f t="shared" si="22"/>
        <v>39.597000000000001</v>
      </c>
      <c r="BD34" s="55">
        <f t="shared" si="23"/>
        <v>0.26728636328851507</v>
      </c>
      <c r="BE34" s="2">
        <v>25.2</v>
      </c>
      <c r="BF34" s="2">
        <v>25.3</v>
      </c>
      <c r="BG34" s="2">
        <v>25.2</v>
      </c>
      <c r="BH34" s="37">
        <f t="shared" si="29"/>
        <v>25.233333333333334</v>
      </c>
      <c r="BI34" s="2">
        <f t="shared" si="32"/>
        <v>5.77350269189634E-2</v>
      </c>
      <c r="BJ34" s="8">
        <v>0.64</v>
      </c>
      <c r="BK34" s="8">
        <v>0.63</v>
      </c>
      <c r="BL34" s="8">
        <v>0.63</v>
      </c>
      <c r="BM34" s="8">
        <f t="shared" si="30"/>
        <v>0.6333333333333333</v>
      </c>
      <c r="BN34" s="9">
        <f t="shared" si="31"/>
        <v>5.7735026918962623E-3</v>
      </c>
      <c r="BO34" s="10">
        <v>113</v>
      </c>
      <c r="BP34" s="10">
        <v>116</v>
      </c>
      <c r="BQ34" s="10">
        <v>5</v>
      </c>
      <c r="BR34" s="10">
        <v>2</v>
      </c>
      <c r="BS34" s="10">
        <f t="shared" si="28"/>
        <v>123</v>
      </c>
      <c r="BT34" s="10">
        <v>11.67</v>
      </c>
      <c r="BU34" s="10">
        <v>3.91</v>
      </c>
      <c r="BV34" s="10">
        <v>9.41</v>
      </c>
      <c r="BW34" s="38">
        <v>45995</v>
      </c>
      <c r="BX34" s="3" t="s">
        <v>84</v>
      </c>
      <c r="BY34" s="16"/>
    </row>
    <row r="35" spans="2:77" ht="14.25" x14ac:dyDescent="0.2">
      <c r="B35" s="4">
        <v>29</v>
      </c>
      <c r="C35" s="3">
        <v>190</v>
      </c>
      <c r="D35" s="3">
        <v>200</v>
      </c>
      <c r="E35" s="3">
        <v>0.2</v>
      </c>
      <c r="F35" s="3">
        <v>30</v>
      </c>
      <c r="G35" s="3" t="s">
        <v>86</v>
      </c>
      <c r="H35" s="3">
        <v>30</v>
      </c>
      <c r="I35" s="2">
        <v>69.75</v>
      </c>
      <c r="J35" s="2">
        <v>69.8</v>
      </c>
      <c r="K35" s="2">
        <v>69.83</v>
      </c>
      <c r="L35" s="54">
        <f t="shared" si="4"/>
        <v>69.793333333333337</v>
      </c>
      <c r="M35" s="54">
        <f t="shared" si="5"/>
        <v>4.0414518843272795E-2</v>
      </c>
      <c r="N35" s="54">
        <f t="shared" si="6"/>
        <v>0.20666666666666345</v>
      </c>
      <c r="O35" s="3">
        <v>49.73</v>
      </c>
      <c r="P35" s="3">
        <v>49.72</v>
      </c>
      <c r="Q35" s="3">
        <v>49.8</v>
      </c>
      <c r="R35" s="55">
        <f t="shared" si="0"/>
        <v>49.75</v>
      </c>
      <c r="S35" s="55">
        <f t="shared" si="1"/>
        <v>4.3588989435406213E-2</v>
      </c>
      <c r="T35" s="55">
        <f t="shared" si="7"/>
        <v>0.25</v>
      </c>
      <c r="U35" s="3">
        <v>5.03</v>
      </c>
      <c r="V35" s="3">
        <v>5.0199999999999996</v>
      </c>
      <c r="W35" s="3">
        <v>5.0199999999999996</v>
      </c>
      <c r="X35" s="55">
        <f t="shared" si="2"/>
        <v>5.0233333333333334</v>
      </c>
      <c r="Y35" s="55">
        <f t="shared" si="3"/>
        <v>5.7735026918966474E-3</v>
      </c>
      <c r="Z35" s="55">
        <f t="shared" si="8"/>
        <v>2.3333333333333428E-2</v>
      </c>
      <c r="AA35" s="51">
        <v>69.739699999999999</v>
      </c>
      <c r="AB35" s="51">
        <f t="shared" si="9"/>
        <v>0.26030000000000086</v>
      </c>
      <c r="AC35" s="51">
        <v>49.420499999999997</v>
      </c>
      <c r="AD35" s="51">
        <f t="shared" si="10"/>
        <v>0.57950000000000301</v>
      </c>
      <c r="AE35" s="51">
        <v>5.5651999999999999</v>
      </c>
      <c r="AF35" s="51">
        <f t="shared" si="11"/>
        <v>0.56519999999999992</v>
      </c>
      <c r="AG35" s="55">
        <v>7.9720000000000004</v>
      </c>
      <c r="AH35" s="55">
        <v>7.7370000000000001</v>
      </c>
      <c r="AI35" s="55">
        <f t="shared" si="12"/>
        <v>7.8544999999999998</v>
      </c>
      <c r="AJ35" s="55">
        <f t="shared" si="13"/>
        <v>0.16617009357883888</v>
      </c>
      <c r="AK35" s="55">
        <v>6.2370000000000001</v>
      </c>
      <c r="AL35" s="55">
        <v>7.07</v>
      </c>
      <c r="AM35" s="55">
        <f t="shared" si="14"/>
        <v>6.6535000000000002</v>
      </c>
      <c r="AN35" s="55">
        <f t="shared" si="15"/>
        <v>0.58901994872839425</v>
      </c>
      <c r="AO35" s="55">
        <v>12.566000000000001</v>
      </c>
      <c r="AP35" s="55">
        <v>12.489000000000001</v>
      </c>
      <c r="AQ35" s="55">
        <f t="shared" si="16"/>
        <v>12.5275</v>
      </c>
      <c r="AR35" s="55">
        <f t="shared" si="17"/>
        <v>5.4447222151364126E-2</v>
      </c>
      <c r="AS35" s="55">
        <v>8.9809999999999999</v>
      </c>
      <c r="AT35" s="55">
        <v>11.398</v>
      </c>
      <c r="AU35" s="55">
        <f t="shared" si="18"/>
        <v>10.189499999999999</v>
      </c>
      <c r="AV35" s="55">
        <f t="shared" si="19"/>
        <v>1.7090770901278991</v>
      </c>
      <c r="AW35" s="55">
        <v>60.969000000000001</v>
      </c>
      <c r="AX35" s="55">
        <v>57.067</v>
      </c>
      <c r="AY35" s="55">
        <f t="shared" si="20"/>
        <v>59.018000000000001</v>
      </c>
      <c r="AZ35" s="55">
        <f t="shared" si="21"/>
        <v>2.7591306601899093</v>
      </c>
      <c r="BA35" s="55">
        <v>53.188000000000002</v>
      </c>
      <c r="BB35" s="55">
        <v>64.475999999999999</v>
      </c>
      <c r="BC35" s="55">
        <f t="shared" si="22"/>
        <v>58.832000000000001</v>
      </c>
      <c r="BD35" s="55">
        <f t="shared" si="23"/>
        <v>7.9818213460337457</v>
      </c>
      <c r="BE35" s="2">
        <v>25.1</v>
      </c>
      <c r="BF35" s="2">
        <v>25.3</v>
      </c>
      <c r="BG35" s="2">
        <v>25.4</v>
      </c>
      <c r="BH35" s="37">
        <f t="shared" si="29"/>
        <v>25.266666666666669</v>
      </c>
      <c r="BI35" s="2">
        <f t="shared" si="32"/>
        <v>0.15275252316519336</v>
      </c>
      <c r="BJ35" s="8">
        <v>0.63</v>
      </c>
      <c r="BK35" s="8">
        <v>0.62</v>
      </c>
      <c r="BL35" s="8">
        <v>0.61</v>
      </c>
      <c r="BM35" s="8">
        <f t="shared" si="30"/>
        <v>0.62</v>
      </c>
      <c r="BN35" s="9">
        <f t="shared" si="31"/>
        <v>1.0000000000000009E-2</v>
      </c>
      <c r="BO35" s="10">
        <v>68</v>
      </c>
      <c r="BP35" s="10">
        <v>71</v>
      </c>
      <c r="BQ35" s="10">
        <v>5</v>
      </c>
      <c r="BR35" s="10">
        <v>2</v>
      </c>
      <c r="BS35" s="10">
        <f t="shared" si="28"/>
        <v>78</v>
      </c>
      <c r="BT35" s="10">
        <v>13.03</v>
      </c>
      <c r="BU35" s="10">
        <v>4.37</v>
      </c>
      <c r="BV35" s="10">
        <v>10.51</v>
      </c>
      <c r="BW35" s="38">
        <v>45995</v>
      </c>
      <c r="BX35" s="3" t="s">
        <v>84</v>
      </c>
      <c r="BY35" s="16"/>
    </row>
    <row r="36" spans="2:77" ht="14.25" x14ac:dyDescent="0.2">
      <c r="B36" s="4">
        <v>30</v>
      </c>
      <c r="C36" s="3">
        <v>210</v>
      </c>
      <c r="D36" s="3">
        <v>100</v>
      </c>
      <c r="E36" s="3">
        <v>0.1</v>
      </c>
      <c r="F36" s="3">
        <v>120</v>
      </c>
      <c r="G36" s="3" t="s">
        <v>83</v>
      </c>
      <c r="H36" s="3">
        <v>30</v>
      </c>
      <c r="I36" s="2">
        <v>69.849999999999994</v>
      </c>
      <c r="J36" s="2">
        <v>69.849999999999994</v>
      </c>
      <c r="K36" s="2">
        <v>69.84</v>
      </c>
      <c r="L36" s="54">
        <f t="shared" si="4"/>
        <v>69.846666666666664</v>
      </c>
      <c r="M36" s="54">
        <f t="shared" si="5"/>
        <v>5.773502691891007E-3</v>
      </c>
      <c r="N36" s="54">
        <f t="shared" si="6"/>
        <v>0.15333333333333599</v>
      </c>
      <c r="O36" s="3">
        <v>49.8</v>
      </c>
      <c r="P36" s="3">
        <v>49.84</v>
      </c>
      <c r="Q36" s="3">
        <v>49.85</v>
      </c>
      <c r="R36" s="55">
        <f t="shared" si="0"/>
        <v>49.830000000000005</v>
      </c>
      <c r="S36" s="55">
        <f t="shared" si="1"/>
        <v>2.6457513110648697E-2</v>
      </c>
      <c r="T36" s="55">
        <f t="shared" si="7"/>
        <v>0.1699999999999946</v>
      </c>
      <c r="U36" s="3">
        <v>5.08</v>
      </c>
      <c r="V36" s="3">
        <v>5.07</v>
      </c>
      <c r="W36" s="3">
        <v>5.07</v>
      </c>
      <c r="X36" s="55">
        <f t="shared" si="2"/>
        <v>5.0733333333333333</v>
      </c>
      <c r="Y36" s="55">
        <f t="shared" si="3"/>
        <v>5.7735026918961348E-3</v>
      </c>
      <c r="Z36" s="55">
        <f t="shared" si="8"/>
        <v>7.333333333333325E-2</v>
      </c>
      <c r="AA36" s="51">
        <v>69.878299999999996</v>
      </c>
      <c r="AB36" s="51">
        <f t="shared" si="9"/>
        <v>0.12170000000000414</v>
      </c>
      <c r="AC36" s="51">
        <v>49.3369</v>
      </c>
      <c r="AD36" s="51">
        <f t="shared" si="10"/>
        <v>0.66310000000000002</v>
      </c>
      <c r="AE36" s="51">
        <v>5.5311000000000003</v>
      </c>
      <c r="AF36" s="51">
        <f t="shared" si="11"/>
        <v>0.53110000000000035</v>
      </c>
      <c r="AG36" s="55">
        <v>5.3959999999999999</v>
      </c>
      <c r="AH36" s="55">
        <v>3.1640000000000001</v>
      </c>
      <c r="AI36" s="55">
        <f t="shared" si="12"/>
        <v>4.28</v>
      </c>
      <c r="AJ36" s="55">
        <f t="shared" si="13"/>
        <v>1.5782623356083745</v>
      </c>
      <c r="AK36" s="55">
        <v>3.4820000000000002</v>
      </c>
      <c r="AL36" s="55">
        <v>3.2040000000000002</v>
      </c>
      <c r="AM36" s="55">
        <f t="shared" si="14"/>
        <v>3.343</v>
      </c>
      <c r="AN36" s="55">
        <f t="shared" si="15"/>
        <v>0.19657568516986024</v>
      </c>
      <c r="AO36" s="55">
        <v>8.16</v>
      </c>
      <c r="AP36" s="55">
        <v>4.9749999999999996</v>
      </c>
      <c r="AQ36" s="55">
        <f t="shared" si="16"/>
        <v>6.5674999999999999</v>
      </c>
      <c r="AR36" s="55">
        <f t="shared" si="17"/>
        <v>2.2521350980791546</v>
      </c>
      <c r="AS36" s="55">
        <v>4.806</v>
      </c>
      <c r="AT36" s="55">
        <v>4.4020000000000001</v>
      </c>
      <c r="AU36" s="55">
        <f t="shared" si="18"/>
        <v>4.6040000000000001</v>
      </c>
      <c r="AV36" s="55">
        <f t="shared" si="19"/>
        <v>0.28567113959936513</v>
      </c>
      <c r="AW36" s="55">
        <v>43.801000000000002</v>
      </c>
      <c r="AX36" s="55">
        <v>29.827999999999999</v>
      </c>
      <c r="AY36" s="55">
        <f t="shared" si="20"/>
        <v>36.814500000000002</v>
      </c>
      <c r="AZ36" s="55">
        <f t="shared" si="21"/>
        <v>9.8804030535196059</v>
      </c>
      <c r="BA36" s="55">
        <v>31.983000000000001</v>
      </c>
      <c r="BB36" s="55">
        <v>29.387</v>
      </c>
      <c r="BC36" s="55">
        <f t="shared" si="22"/>
        <v>30.685000000000002</v>
      </c>
      <c r="BD36" s="55">
        <f t="shared" si="23"/>
        <v>1.8356492039602774</v>
      </c>
      <c r="BE36" s="2">
        <v>22</v>
      </c>
      <c r="BF36" s="2">
        <v>24.8</v>
      </c>
      <c r="BG36" s="2">
        <v>25.6</v>
      </c>
      <c r="BH36" s="37">
        <f t="shared" si="29"/>
        <v>24.133333333333336</v>
      </c>
      <c r="BI36" s="2">
        <f t="shared" si="32"/>
        <v>1.8903262505010441</v>
      </c>
      <c r="BJ36" s="8">
        <v>0.73</v>
      </c>
      <c r="BK36" s="8">
        <v>0.62</v>
      </c>
      <c r="BL36" s="8">
        <v>0.57999999999999996</v>
      </c>
      <c r="BM36" s="8">
        <f t="shared" si="30"/>
        <v>0.64333333333333342</v>
      </c>
      <c r="BN36" s="9">
        <f t="shared" si="31"/>
        <v>7.7674534651540297E-2</v>
      </c>
      <c r="BO36" s="10">
        <v>34</v>
      </c>
      <c r="BP36" s="10">
        <v>38</v>
      </c>
      <c r="BQ36" s="10">
        <v>5</v>
      </c>
      <c r="BR36" s="10">
        <v>2</v>
      </c>
      <c r="BS36" s="10">
        <f t="shared" si="28"/>
        <v>45</v>
      </c>
      <c r="BT36" s="10">
        <v>11.67</v>
      </c>
      <c r="BU36" s="10">
        <v>3.91</v>
      </c>
      <c r="BV36" s="10">
        <v>9.41</v>
      </c>
      <c r="BW36" s="38">
        <v>45995</v>
      </c>
      <c r="BX36" s="3" t="s">
        <v>84</v>
      </c>
      <c r="BY36" s="16"/>
    </row>
    <row r="37" spans="2:77" ht="14.25" x14ac:dyDescent="0.2">
      <c r="B37" s="4">
        <v>31</v>
      </c>
      <c r="C37" s="3">
        <v>210</v>
      </c>
      <c r="D37" s="3">
        <v>100</v>
      </c>
      <c r="E37" s="3">
        <v>0.1</v>
      </c>
      <c r="F37" s="3">
        <v>120</v>
      </c>
      <c r="G37" s="3" t="s">
        <v>83</v>
      </c>
      <c r="H37" s="3">
        <v>10</v>
      </c>
      <c r="I37" s="2">
        <v>69.75</v>
      </c>
      <c r="J37" s="2">
        <v>69.81</v>
      </c>
      <c r="K37" s="2">
        <v>69.819999999999993</v>
      </c>
      <c r="L37" s="54">
        <f t="shared" si="4"/>
        <v>69.793333333333337</v>
      </c>
      <c r="M37" s="54">
        <f t="shared" si="5"/>
        <v>3.7859388971999926E-2</v>
      </c>
      <c r="N37" s="54">
        <f t="shared" si="6"/>
        <v>0.20666666666666345</v>
      </c>
      <c r="O37" s="3">
        <v>49.85</v>
      </c>
      <c r="P37" s="3">
        <v>49.8</v>
      </c>
      <c r="Q37" s="3">
        <v>49.76</v>
      </c>
      <c r="R37" s="55">
        <f t="shared" si="0"/>
        <v>49.803333333333335</v>
      </c>
      <c r="S37" s="55">
        <f t="shared" si="1"/>
        <v>4.5092497528230739E-2</v>
      </c>
      <c r="T37" s="55">
        <f t="shared" si="7"/>
        <v>0.19666666666666544</v>
      </c>
      <c r="U37" s="3">
        <v>5.04</v>
      </c>
      <c r="V37" s="3">
        <v>5.0199999999999996</v>
      </c>
      <c r="W37" s="3">
        <v>5.04</v>
      </c>
      <c r="X37" s="55">
        <f t="shared" si="2"/>
        <v>5.0333333333333323</v>
      </c>
      <c r="Y37" s="55">
        <f t="shared" si="3"/>
        <v>1.1547005383792781E-2</v>
      </c>
      <c r="Z37" s="55">
        <f t="shared" si="8"/>
        <v>3.3333333333332327E-2</v>
      </c>
      <c r="AA37" s="51">
        <v>69.668000000000006</v>
      </c>
      <c r="AB37" s="51">
        <f t="shared" si="9"/>
        <v>0.33199999999999363</v>
      </c>
      <c r="AC37" s="51">
        <v>50.140500000000003</v>
      </c>
      <c r="AD37" s="51">
        <f t="shared" si="10"/>
        <v>0.14050000000000296</v>
      </c>
      <c r="AE37" s="51">
        <v>5.7202000000000002</v>
      </c>
      <c r="AF37" s="51">
        <f t="shared" si="11"/>
        <v>0.72020000000000017</v>
      </c>
      <c r="AG37" s="55">
        <v>4.7309999999999999</v>
      </c>
      <c r="AH37" s="55">
        <v>3.4140000000000001</v>
      </c>
      <c r="AI37" s="55">
        <f t="shared" si="12"/>
        <v>4.0724999999999998</v>
      </c>
      <c r="AJ37" s="55">
        <f t="shared" si="13"/>
        <v>0.93125963082268592</v>
      </c>
      <c r="AK37" s="55">
        <v>3.476</v>
      </c>
      <c r="AL37" s="55">
        <v>3.1749999999999998</v>
      </c>
      <c r="AM37" s="55">
        <f t="shared" si="14"/>
        <v>3.3254999999999999</v>
      </c>
      <c r="AN37" s="55">
        <f t="shared" si="15"/>
        <v>0.21283914113715091</v>
      </c>
      <c r="AO37" s="55">
        <v>7.431</v>
      </c>
      <c r="AP37" s="55">
        <v>5.0650000000000004</v>
      </c>
      <c r="AQ37" s="55">
        <f t="shared" si="16"/>
        <v>6.2480000000000002</v>
      </c>
      <c r="AR37" s="55">
        <f t="shared" si="17"/>
        <v>1.6730146442873688</v>
      </c>
      <c r="AS37" s="55">
        <v>4.7880000000000003</v>
      </c>
      <c r="AT37" s="55">
        <v>4.6360000000000001</v>
      </c>
      <c r="AU37" s="55">
        <f t="shared" si="18"/>
        <v>4.7119999999999997</v>
      </c>
      <c r="AV37" s="55">
        <f t="shared" si="19"/>
        <v>0.10748023074035531</v>
      </c>
      <c r="AW37" s="55">
        <v>43.491</v>
      </c>
      <c r="AX37" s="55">
        <v>29.442</v>
      </c>
      <c r="AY37" s="55">
        <f t="shared" si="20"/>
        <v>36.466499999999996</v>
      </c>
      <c r="AZ37" s="55">
        <f t="shared" si="21"/>
        <v>9.9341431688898307</v>
      </c>
      <c r="BA37" s="55">
        <v>28.492000000000001</v>
      </c>
      <c r="BB37" s="55">
        <v>31.553999999999998</v>
      </c>
      <c r="BC37" s="55">
        <f t="shared" si="22"/>
        <v>30.023</v>
      </c>
      <c r="BD37" s="55">
        <f t="shared" si="23"/>
        <v>2.1651609639932068</v>
      </c>
      <c r="BE37" s="2">
        <v>25.6</v>
      </c>
      <c r="BF37" s="2">
        <v>25.4</v>
      </c>
      <c r="BG37" s="2">
        <v>25.4</v>
      </c>
      <c r="BH37" s="37">
        <f t="shared" si="29"/>
        <v>25.466666666666669</v>
      </c>
      <c r="BI37" s="2">
        <f t="shared" si="32"/>
        <v>0.1154700538379268</v>
      </c>
      <c r="BJ37" s="8">
        <v>0.59</v>
      </c>
      <c r="BK37" s="8">
        <v>0.6</v>
      </c>
      <c r="BL37" s="8">
        <v>0.57999999999999996</v>
      </c>
      <c r="BM37" s="8">
        <f t="shared" si="30"/>
        <v>0.59</v>
      </c>
      <c r="BN37" s="9">
        <f t="shared" si="31"/>
        <v>1.0000000000000009E-2</v>
      </c>
      <c r="BO37" s="10">
        <v>25</v>
      </c>
      <c r="BP37" s="10">
        <v>29</v>
      </c>
      <c r="BQ37" s="10">
        <v>5</v>
      </c>
      <c r="BR37" s="10">
        <v>2</v>
      </c>
      <c r="BS37" s="10">
        <f t="shared" si="28"/>
        <v>36</v>
      </c>
      <c r="BT37" s="10">
        <v>8.61</v>
      </c>
      <c r="BU37" s="10">
        <v>2.89</v>
      </c>
      <c r="BV37" s="10">
        <v>6.94</v>
      </c>
      <c r="BW37" s="38">
        <v>45995</v>
      </c>
      <c r="BX37" s="3" t="s">
        <v>84</v>
      </c>
      <c r="BY37" s="16"/>
    </row>
    <row r="38" spans="2:77" ht="14.25" x14ac:dyDescent="0.2">
      <c r="B38" s="4">
        <v>32</v>
      </c>
      <c r="C38" s="3">
        <v>200</v>
      </c>
      <c r="D38" s="3">
        <v>100</v>
      </c>
      <c r="E38" s="3">
        <v>0.1</v>
      </c>
      <c r="F38" s="3">
        <v>75</v>
      </c>
      <c r="G38" s="3" t="s">
        <v>85</v>
      </c>
      <c r="H38" s="3">
        <v>20</v>
      </c>
      <c r="I38" s="2">
        <v>69.87</v>
      </c>
      <c r="J38" s="2">
        <v>69.91</v>
      </c>
      <c r="K38" s="2">
        <v>69.89</v>
      </c>
      <c r="L38" s="54">
        <f t="shared" si="4"/>
        <v>69.89</v>
      </c>
      <c r="M38" s="54">
        <f t="shared" si="5"/>
        <v>1.9999999999996021E-2</v>
      </c>
      <c r="N38" s="54">
        <f t="shared" si="6"/>
        <v>0.10999999999999943</v>
      </c>
      <c r="O38" s="3">
        <v>49.85</v>
      </c>
      <c r="P38" s="3">
        <v>49.86</v>
      </c>
      <c r="Q38" s="3">
        <v>49.87</v>
      </c>
      <c r="R38" s="55">
        <f t="shared" si="0"/>
        <v>49.860000000000007</v>
      </c>
      <c r="S38" s="55">
        <f t="shared" si="1"/>
        <v>9.9999999999980105E-3</v>
      </c>
      <c r="T38" s="55">
        <f t="shared" si="7"/>
        <v>0.13999999999999346</v>
      </c>
      <c r="U38" s="3">
        <v>5.07</v>
      </c>
      <c r="V38" s="3">
        <v>5.07</v>
      </c>
      <c r="W38" s="3">
        <v>5.09</v>
      </c>
      <c r="X38" s="55">
        <f t="shared" si="2"/>
        <v>5.0766666666666671</v>
      </c>
      <c r="Y38" s="55">
        <f t="shared" si="3"/>
        <v>1.154700538379227E-2</v>
      </c>
      <c r="Z38" s="55">
        <f t="shared" si="8"/>
        <v>7.6666666666667105E-2</v>
      </c>
      <c r="AA38" s="51">
        <v>74.682299999999998</v>
      </c>
      <c r="AB38" s="51">
        <f t="shared" si="9"/>
        <v>4.6822999999999979</v>
      </c>
      <c r="AC38" s="51">
        <v>51.683799999999998</v>
      </c>
      <c r="AD38" s="51">
        <f t="shared" si="10"/>
        <v>1.683799999999998</v>
      </c>
      <c r="AE38" s="51">
        <v>5.6264000000000003</v>
      </c>
      <c r="AF38" s="51">
        <f t="shared" si="11"/>
        <v>0.62640000000000029</v>
      </c>
      <c r="AG38" s="55">
        <v>4.6790000000000003</v>
      </c>
      <c r="AH38" s="55">
        <v>3.601</v>
      </c>
      <c r="AI38" s="55">
        <f t="shared" si="12"/>
        <v>4.1400000000000006</v>
      </c>
      <c r="AJ38" s="55">
        <f t="shared" si="13"/>
        <v>0.76226111011909126</v>
      </c>
      <c r="AK38" s="55">
        <v>3.472</v>
      </c>
      <c r="AL38" s="55">
        <v>3.0169999999999999</v>
      </c>
      <c r="AM38" s="55">
        <f t="shared" si="14"/>
        <v>3.2444999999999999</v>
      </c>
      <c r="AN38" s="55">
        <f t="shared" si="15"/>
        <v>0.32173358543987918</v>
      </c>
      <c r="AO38" s="55">
        <v>7.7709999999999999</v>
      </c>
      <c r="AP38" s="55">
        <v>6.125</v>
      </c>
      <c r="AQ38" s="55">
        <f t="shared" si="16"/>
        <v>6.9480000000000004</v>
      </c>
      <c r="AR38" s="55">
        <f t="shared" si="17"/>
        <v>1.1638977618330513</v>
      </c>
      <c r="AS38" s="55">
        <v>5.0750000000000002</v>
      </c>
      <c r="AT38" s="55">
        <v>4.3780000000000001</v>
      </c>
      <c r="AU38" s="55">
        <f t="shared" si="18"/>
        <v>4.7264999999999997</v>
      </c>
      <c r="AV38" s="55">
        <f t="shared" si="19"/>
        <v>0.49285342648702363</v>
      </c>
      <c r="AW38" s="55">
        <v>40.387999999999998</v>
      </c>
      <c r="AX38" s="55">
        <v>31.966999999999999</v>
      </c>
      <c r="AY38" s="55">
        <f t="shared" si="20"/>
        <v>36.177499999999995</v>
      </c>
      <c r="AZ38" s="55">
        <f t="shared" si="21"/>
        <v>5.9545462043719635</v>
      </c>
      <c r="BA38" s="55">
        <v>28.158999999999999</v>
      </c>
      <c r="BB38" s="55">
        <v>27.404</v>
      </c>
      <c r="BC38" s="55">
        <f t="shared" si="22"/>
        <v>27.781500000000001</v>
      </c>
      <c r="BD38" s="55">
        <f t="shared" si="23"/>
        <v>0.53386561979584268</v>
      </c>
      <c r="BE38" s="2">
        <v>25.3</v>
      </c>
      <c r="BF38" s="2">
        <v>25.3</v>
      </c>
      <c r="BG38" s="2">
        <v>25.2</v>
      </c>
      <c r="BH38" s="37">
        <f t="shared" si="29"/>
        <v>25.266666666666666</v>
      </c>
      <c r="BI38" s="2">
        <f t="shared" si="32"/>
        <v>5.77350269189634E-2</v>
      </c>
      <c r="BJ38" s="8">
        <v>0.57999999999999996</v>
      </c>
      <c r="BK38" s="8">
        <v>0.56999999999999995</v>
      </c>
      <c r="BL38" s="8">
        <v>0.56999999999999995</v>
      </c>
      <c r="BM38" s="8">
        <f t="shared" si="30"/>
        <v>0.57333333333333325</v>
      </c>
      <c r="BN38" s="9">
        <f t="shared" si="31"/>
        <v>5.7735026918962623E-3</v>
      </c>
      <c r="BO38" s="10">
        <v>42</v>
      </c>
      <c r="BP38" s="10">
        <v>45</v>
      </c>
      <c r="BQ38" s="10">
        <v>5</v>
      </c>
      <c r="BR38" s="10">
        <v>2</v>
      </c>
      <c r="BS38" s="10">
        <f t="shared" si="28"/>
        <v>52</v>
      </c>
      <c r="BT38" s="10">
        <v>10.119999999999999</v>
      </c>
      <c r="BU38" s="10">
        <v>3.39</v>
      </c>
      <c r="BV38" s="10">
        <v>8.16</v>
      </c>
      <c r="BW38" s="38">
        <v>45995</v>
      </c>
      <c r="BX38" s="3" t="s">
        <v>84</v>
      </c>
      <c r="BY38" s="16"/>
    </row>
    <row r="39" spans="2:77" ht="14.25" x14ac:dyDescent="0.2">
      <c r="B39" s="4">
        <v>33</v>
      </c>
      <c r="C39" s="3">
        <v>190</v>
      </c>
      <c r="D39" s="3">
        <v>200</v>
      </c>
      <c r="E39" s="3">
        <v>0.2</v>
      </c>
      <c r="F39" s="3">
        <v>120</v>
      </c>
      <c r="G39" s="3" t="s">
        <v>83</v>
      </c>
      <c r="H39" s="3">
        <v>10</v>
      </c>
      <c r="I39" s="2">
        <v>69.72</v>
      </c>
      <c r="J39" s="2">
        <v>69.73</v>
      </c>
      <c r="K39" s="2">
        <v>69.709999999999994</v>
      </c>
      <c r="L39" s="54">
        <f t="shared" si="4"/>
        <v>69.719999999999985</v>
      </c>
      <c r="M39" s="54">
        <f t="shared" si="5"/>
        <v>1.0000000000005116E-2</v>
      </c>
      <c r="N39" s="54">
        <f t="shared" si="6"/>
        <v>0.28000000000001535</v>
      </c>
      <c r="O39" s="3">
        <v>49.77</v>
      </c>
      <c r="P39" s="3">
        <v>49.73</v>
      </c>
      <c r="Q39" s="3">
        <v>49.75</v>
      </c>
      <c r="R39" s="55">
        <f t="shared" si="0"/>
        <v>49.75</v>
      </c>
      <c r="S39" s="55">
        <f t="shared" si="1"/>
        <v>2.0000000000003126E-2</v>
      </c>
      <c r="T39" s="55">
        <f t="shared" si="7"/>
        <v>0.25</v>
      </c>
      <c r="U39" s="3">
        <v>5.0199999999999996</v>
      </c>
      <c r="V39" s="3">
        <v>5.0199999999999996</v>
      </c>
      <c r="W39" s="3">
        <v>5.0199999999999996</v>
      </c>
      <c r="X39" s="55">
        <f t="shared" si="2"/>
        <v>5.0199999999999996</v>
      </c>
      <c r="Y39" s="55">
        <f t="shared" si="3"/>
        <v>0</v>
      </c>
      <c r="Z39" s="55">
        <f t="shared" si="8"/>
        <v>1.9999999999999574E-2</v>
      </c>
      <c r="AA39" s="51">
        <v>69.626999999999995</v>
      </c>
      <c r="AB39" s="51">
        <f t="shared" si="9"/>
        <v>0.37300000000000466</v>
      </c>
      <c r="AC39" s="51">
        <v>49.336799999999997</v>
      </c>
      <c r="AD39" s="51">
        <f t="shared" si="10"/>
        <v>0.66320000000000334</v>
      </c>
      <c r="AE39" s="51">
        <v>7.0167999999999999</v>
      </c>
      <c r="AF39" s="51">
        <f t="shared" si="11"/>
        <v>2.0167999999999999</v>
      </c>
      <c r="AG39" s="55">
        <v>6.9279999999999999</v>
      </c>
      <c r="AH39" s="55">
        <v>5.9889999999999999</v>
      </c>
      <c r="AI39" s="55">
        <f t="shared" si="12"/>
        <v>6.4584999999999999</v>
      </c>
      <c r="AJ39" s="55">
        <f t="shared" si="13"/>
        <v>0.66397326753416819</v>
      </c>
      <c r="AK39" s="55">
        <v>8.1790000000000003</v>
      </c>
      <c r="AL39" s="55">
        <v>8.1790000000000003</v>
      </c>
      <c r="AM39" s="55">
        <f t="shared" si="14"/>
        <v>8.1790000000000003</v>
      </c>
      <c r="AN39" s="55">
        <f t="shared" si="15"/>
        <v>0</v>
      </c>
      <c r="AO39" s="55">
        <v>8.01</v>
      </c>
      <c r="AP39" s="55">
        <v>7.4009999999999998</v>
      </c>
      <c r="AQ39" s="55">
        <f t="shared" si="16"/>
        <v>7.7054999999999998</v>
      </c>
      <c r="AR39" s="55">
        <f t="shared" si="17"/>
        <v>0.43062802974260744</v>
      </c>
      <c r="AS39" s="55">
        <v>9.9909999999999997</v>
      </c>
      <c r="AT39" s="55">
        <v>9.9909999999999997</v>
      </c>
      <c r="AU39" s="55">
        <f t="shared" si="18"/>
        <v>9.9909999999999997</v>
      </c>
      <c r="AV39" s="55">
        <f t="shared" si="19"/>
        <v>0</v>
      </c>
      <c r="AW39" s="55">
        <v>30.004000000000001</v>
      </c>
      <c r="AX39" s="55">
        <v>29.818000000000001</v>
      </c>
      <c r="AY39" s="55">
        <f t="shared" si="20"/>
        <v>29.911000000000001</v>
      </c>
      <c r="AZ39" s="55">
        <f t="shared" si="21"/>
        <v>0.13152186130069779</v>
      </c>
      <c r="BA39" s="55">
        <v>37.784999999999997</v>
      </c>
      <c r="BB39" s="55">
        <v>37.784999999999997</v>
      </c>
      <c r="BC39" s="55">
        <f t="shared" si="22"/>
        <v>37.784999999999997</v>
      </c>
      <c r="BD39" s="55">
        <f t="shared" si="23"/>
        <v>0</v>
      </c>
      <c r="BE39" s="2">
        <v>25.1</v>
      </c>
      <c r="BF39" s="2">
        <v>24.9</v>
      </c>
      <c r="BG39" s="2">
        <v>25.4</v>
      </c>
      <c r="BH39" s="37">
        <f t="shared" si="29"/>
        <v>25.133333333333336</v>
      </c>
      <c r="BI39" s="2">
        <f t="shared" si="32"/>
        <v>0.25166114784235816</v>
      </c>
      <c r="BJ39" s="8">
        <v>0.56999999999999995</v>
      </c>
      <c r="BK39" s="8">
        <v>0.56999999999999995</v>
      </c>
      <c r="BL39" s="8">
        <v>0.56000000000000005</v>
      </c>
      <c r="BM39" s="8">
        <f t="shared" si="30"/>
        <v>0.56666666666666665</v>
      </c>
      <c r="BN39" s="9">
        <f t="shared" si="31"/>
        <v>5.773502691896199E-3</v>
      </c>
      <c r="BO39" s="10">
        <v>17</v>
      </c>
      <c r="BP39" s="10">
        <v>20</v>
      </c>
      <c r="BQ39" s="10">
        <v>5</v>
      </c>
      <c r="BR39" s="10">
        <v>2</v>
      </c>
      <c r="BS39" s="10">
        <f t="shared" si="28"/>
        <v>27</v>
      </c>
      <c r="BT39" s="10">
        <v>10.36</v>
      </c>
      <c r="BU39" s="10">
        <v>3.47</v>
      </c>
      <c r="BV39" s="10">
        <v>8.35</v>
      </c>
      <c r="BW39" s="38">
        <v>45995</v>
      </c>
      <c r="BX39" s="3" t="s">
        <v>84</v>
      </c>
      <c r="BY39" s="16"/>
    </row>
    <row r="40" spans="2:77" ht="14.25" x14ac:dyDescent="0.2">
      <c r="B40" s="4">
        <v>34</v>
      </c>
      <c r="C40" s="3">
        <v>200</v>
      </c>
      <c r="D40" s="3">
        <v>150</v>
      </c>
      <c r="E40" s="3">
        <v>0.15</v>
      </c>
      <c r="F40" s="3">
        <v>75</v>
      </c>
      <c r="G40" s="3" t="s">
        <v>83</v>
      </c>
      <c r="H40" s="3">
        <v>20</v>
      </c>
      <c r="I40" s="2">
        <v>69.8</v>
      </c>
      <c r="J40" s="2">
        <v>69.790000000000006</v>
      </c>
      <c r="K40" s="2">
        <v>69.819999999999993</v>
      </c>
      <c r="L40" s="54">
        <f t="shared" si="4"/>
        <v>69.803333333333327</v>
      </c>
      <c r="M40" s="54">
        <f t="shared" si="5"/>
        <v>1.5275252316513326E-2</v>
      </c>
      <c r="N40" s="54">
        <f t="shared" si="6"/>
        <v>0.19666666666667254</v>
      </c>
      <c r="O40" s="3">
        <v>49.79</v>
      </c>
      <c r="P40" s="3">
        <v>49.76</v>
      </c>
      <c r="Q40" s="3">
        <v>49.8</v>
      </c>
      <c r="R40" s="55">
        <f t="shared" si="0"/>
        <v>49.783333333333331</v>
      </c>
      <c r="S40" s="55">
        <f t="shared" si="1"/>
        <v>2.0816659994661167E-2</v>
      </c>
      <c r="T40" s="55">
        <f t="shared" si="7"/>
        <v>0.21666666666666856</v>
      </c>
      <c r="U40" s="3">
        <v>5.01</v>
      </c>
      <c r="V40" s="3">
        <v>5</v>
      </c>
      <c r="W40" s="3">
        <v>5.0199999999999996</v>
      </c>
      <c r="X40" s="55">
        <f t="shared" si="2"/>
        <v>5.01</v>
      </c>
      <c r="Y40" s="55">
        <f t="shared" si="3"/>
        <v>9.9999999999997868E-3</v>
      </c>
      <c r="Z40" s="55">
        <f t="shared" si="8"/>
        <v>9.9999999999997868E-3</v>
      </c>
      <c r="AA40" s="51">
        <v>69.691100000000006</v>
      </c>
      <c r="AB40" s="51">
        <f t="shared" si="9"/>
        <v>0.30889999999999418</v>
      </c>
      <c r="AC40" s="51">
        <v>49.3996</v>
      </c>
      <c r="AD40" s="51">
        <f t="shared" si="10"/>
        <v>0.60040000000000049</v>
      </c>
      <c r="AE40" s="51">
        <v>4.7736000000000001</v>
      </c>
      <c r="AF40" s="51">
        <f t="shared" si="11"/>
        <v>0.22639999999999993</v>
      </c>
      <c r="AG40" s="55">
        <v>6.9770000000000003</v>
      </c>
      <c r="AH40" s="55">
        <v>5.9930000000000003</v>
      </c>
      <c r="AI40" s="55">
        <f t="shared" si="12"/>
        <v>6.4850000000000003</v>
      </c>
      <c r="AJ40" s="55">
        <f t="shared" si="13"/>
        <v>0.69579307268756274</v>
      </c>
      <c r="AK40" s="55">
        <v>10.14</v>
      </c>
      <c r="AL40" s="55">
        <v>9.1449999999999996</v>
      </c>
      <c r="AM40" s="55">
        <f t="shared" si="14"/>
        <v>9.6425000000000001</v>
      </c>
      <c r="AN40" s="55">
        <f t="shared" si="15"/>
        <v>0.70357124728061549</v>
      </c>
      <c r="AO40" s="55">
        <v>10.804</v>
      </c>
      <c r="AP40" s="55">
        <v>9.5540000000000003</v>
      </c>
      <c r="AQ40" s="55">
        <f t="shared" si="16"/>
        <v>10.179</v>
      </c>
      <c r="AR40" s="55">
        <f t="shared" si="17"/>
        <v>0.88388347648318444</v>
      </c>
      <c r="AS40" s="55">
        <v>13.989000000000001</v>
      </c>
      <c r="AT40" s="55">
        <v>13.49</v>
      </c>
      <c r="AU40" s="55">
        <f t="shared" si="18"/>
        <v>13.7395</v>
      </c>
      <c r="AV40" s="55">
        <f t="shared" si="19"/>
        <v>0.3528462838120876</v>
      </c>
      <c r="AW40" s="55">
        <v>55.536000000000001</v>
      </c>
      <c r="AX40" s="55">
        <v>50.148000000000003</v>
      </c>
      <c r="AY40" s="55">
        <f t="shared" si="20"/>
        <v>52.841999999999999</v>
      </c>
      <c r="AZ40" s="55">
        <f t="shared" si="21"/>
        <v>3.8098913370331164</v>
      </c>
      <c r="BA40" s="55">
        <v>72.847999999999999</v>
      </c>
      <c r="BB40" s="55">
        <v>68.421999999999997</v>
      </c>
      <c r="BC40" s="55">
        <f t="shared" si="22"/>
        <v>70.634999999999991</v>
      </c>
      <c r="BD40" s="55">
        <f t="shared" si="23"/>
        <v>3.129654613531661</v>
      </c>
      <c r="BE40" s="2">
        <v>25.3</v>
      </c>
      <c r="BF40" s="2">
        <v>24.8</v>
      </c>
      <c r="BG40" s="2">
        <v>25.3</v>
      </c>
      <c r="BH40" s="37">
        <f t="shared" si="29"/>
        <v>25.133333333333336</v>
      </c>
      <c r="BI40" s="2">
        <f t="shared" si="32"/>
        <v>0.28867513459481287</v>
      </c>
      <c r="BJ40" s="8">
        <v>0.56999999999999995</v>
      </c>
      <c r="BK40" s="8">
        <v>0.56999999999999995</v>
      </c>
      <c r="BL40" s="8">
        <v>0.56000000000000005</v>
      </c>
      <c r="BM40" s="8">
        <f t="shared" si="30"/>
        <v>0.56666666666666665</v>
      </c>
      <c r="BN40" s="9">
        <f t="shared" si="31"/>
        <v>5.773502691896199E-3</v>
      </c>
      <c r="BO40" s="10">
        <v>30</v>
      </c>
      <c r="BP40" s="10">
        <v>33</v>
      </c>
      <c r="BQ40" s="10">
        <v>5</v>
      </c>
      <c r="BR40" s="10">
        <v>2</v>
      </c>
      <c r="BS40" s="10">
        <f t="shared" si="28"/>
        <v>40</v>
      </c>
      <c r="BT40" s="10">
        <v>10.39</v>
      </c>
      <c r="BU40" s="10">
        <v>3.48</v>
      </c>
      <c r="BV40" s="10">
        <v>8.3800000000000008</v>
      </c>
      <c r="BW40" s="38">
        <v>45996</v>
      </c>
      <c r="BX40" s="3" t="s">
        <v>84</v>
      </c>
      <c r="BY40" s="16"/>
    </row>
    <row r="41" spans="2:77" ht="14.25" x14ac:dyDescent="0.2">
      <c r="B41" s="4">
        <v>35</v>
      </c>
      <c r="C41" s="3">
        <v>200</v>
      </c>
      <c r="D41" s="3">
        <v>150</v>
      </c>
      <c r="E41" s="3">
        <v>0.15</v>
      </c>
      <c r="F41" s="3">
        <v>75</v>
      </c>
      <c r="G41" s="3" t="s">
        <v>85</v>
      </c>
      <c r="H41" s="3">
        <v>30</v>
      </c>
      <c r="I41" s="2">
        <v>69.83</v>
      </c>
      <c r="J41" s="2">
        <v>69.849999999999994</v>
      </c>
      <c r="K41" s="2">
        <v>69.8</v>
      </c>
      <c r="L41" s="54">
        <f t="shared" si="4"/>
        <v>69.826666666666668</v>
      </c>
      <c r="M41" s="54">
        <f t="shared" si="5"/>
        <v>2.516611478423459E-2</v>
      </c>
      <c r="N41" s="54">
        <f t="shared" si="6"/>
        <v>0.17333333333333201</v>
      </c>
      <c r="O41" s="3">
        <v>49.74</v>
      </c>
      <c r="P41" s="3">
        <v>49.78</v>
      </c>
      <c r="Q41" s="3">
        <v>49.77</v>
      </c>
      <c r="R41" s="55">
        <f t="shared" si="0"/>
        <v>49.763333333333343</v>
      </c>
      <c r="S41" s="55">
        <f t="shared" si="1"/>
        <v>2.0816659994661171E-2</v>
      </c>
      <c r="T41" s="55">
        <f t="shared" si="7"/>
        <v>0.23666666666665748</v>
      </c>
      <c r="U41" s="3">
        <v>5.0199999999999996</v>
      </c>
      <c r="V41" s="3">
        <v>5.0199999999999996</v>
      </c>
      <c r="W41" s="3">
        <v>5.03</v>
      </c>
      <c r="X41" s="55">
        <f t="shared" si="2"/>
        <v>5.0233333333333334</v>
      </c>
      <c r="Y41" s="55">
        <f t="shared" si="3"/>
        <v>5.7735026918966474E-3</v>
      </c>
      <c r="Z41" s="55">
        <f t="shared" si="8"/>
        <v>2.3333333333333428E-2</v>
      </c>
      <c r="AA41" s="51">
        <v>69.6477</v>
      </c>
      <c r="AB41" s="51">
        <f t="shared" si="9"/>
        <v>0.35229999999999961</v>
      </c>
      <c r="AC41" s="51">
        <v>49.202500000000001</v>
      </c>
      <c r="AD41" s="51">
        <f t="shared" si="10"/>
        <v>0.79749999999999943</v>
      </c>
      <c r="AE41" s="51">
        <v>6.1730999999999998</v>
      </c>
      <c r="AF41" s="51">
        <f t="shared" si="11"/>
        <v>1.1730999999999998</v>
      </c>
      <c r="AG41" s="55">
        <v>7.7060000000000004</v>
      </c>
      <c r="AH41" s="55">
        <v>6.3109999999999999</v>
      </c>
      <c r="AI41" s="55">
        <f t="shared" si="12"/>
        <v>7.0084999999999997</v>
      </c>
      <c r="AJ41" s="55">
        <f t="shared" si="13"/>
        <v>0.98641395975523416</v>
      </c>
      <c r="AK41" s="55">
        <v>9.3320000000000007</v>
      </c>
      <c r="AL41" s="55">
        <v>9.6649999999999991</v>
      </c>
      <c r="AM41" s="55">
        <f t="shared" si="14"/>
        <v>9.4984999999999999</v>
      </c>
      <c r="AN41" s="55">
        <f t="shared" si="15"/>
        <v>0.23546655813511921</v>
      </c>
      <c r="AO41" s="55">
        <v>12.446</v>
      </c>
      <c r="AP41" s="55">
        <v>10.538</v>
      </c>
      <c r="AQ41" s="55">
        <f t="shared" si="16"/>
        <v>11.492000000000001</v>
      </c>
      <c r="AR41" s="55">
        <f t="shared" si="17"/>
        <v>1.3491597385039322</v>
      </c>
      <c r="AS41" s="55">
        <v>12.691000000000001</v>
      </c>
      <c r="AT41" s="55">
        <v>14.090999999999999</v>
      </c>
      <c r="AU41" s="55">
        <f t="shared" si="18"/>
        <v>13.391</v>
      </c>
      <c r="AV41" s="55">
        <f t="shared" si="19"/>
        <v>0.98994949366116547</v>
      </c>
      <c r="AW41" s="55">
        <v>59.924999999999997</v>
      </c>
      <c r="AX41" s="55">
        <v>57.557000000000002</v>
      </c>
      <c r="AY41" s="55">
        <f t="shared" si="20"/>
        <v>58.741</v>
      </c>
      <c r="AZ41" s="55">
        <f t="shared" si="21"/>
        <v>1.674428857849741</v>
      </c>
      <c r="BA41" s="55">
        <v>66.706999999999994</v>
      </c>
      <c r="BB41" s="55">
        <v>71.83</v>
      </c>
      <c r="BC41" s="55">
        <f t="shared" si="22"/>
        <v>69.268499999999989</v>
      </c>
      <c r="BD41" s="55">
        <f t="shared" si="23"/>
        <v>3.6225080400186864</v>
      </c>
      <c r="BE41" s="2">
        <v>25.1</v>
      </c>
      <c r="BF41" s="2">
        <v>25.8</v>
      </c>
      <c r="BG41" s="2">
        <v>25</v>
      </c>
      <c r="BH41" s="37">
        <f t="shared" si="29"/>
        <v>25.3</v>
      </c>
      <c r="BI41" s="2">
        <f t="shared" si="32"/>
        <v>0.43588989435406744</v>
      </c>
      <c r="BJ41" s="8">
        <v>0.56000000000000005</v>
      </c>
      <c r="BK41" s="8">
        <v>0.54</v>
      </c>
      <c r="BL41" s="8">
        <v>0.55000000000000004</v>
      </c>
      <c r="BM41" s="8">
        <f t="shared" si="30"/>
        <v>0.55000000000000004</v>
      </c>
      <c r="BN41" s="9">
        <f t="shared" si="31"/>
        <v>1.0000000000000009E-2</v>
      </c>
      <c r="BO41" s="10">
        <v>35</v>
      </c>
      <c r="BP41" s="10">
        <v>38</v>
      </c>
      <c r="BQ41" s="10">
        <v>5</v>
      </c>
      <c r="BR41" s="10">
        <v>2</v>
      </c>
      <c r="BS41" s="10">
        <f t="shared" si="28"/>
        <v>45</v>
      </c>
      <c r="BT41" s="10">
        <v>11.82</v>
      </c>
      <c r="BU41" s="10">
        <v>3.96</v>
      </c>
      <c r="BV41" s="10">
        <v>9.5299999999999994</v>
      </c>
      <c r="BW41" s="38">
        <v>45996</v>
      </c>
      <c r="BX41" s="3" t="s">
        <v>84</v>
      </c>
      <c r="BY41" s="16"/>
    </row>
    <row r="42" spans="2:77" ht="14.25" x14ac:dyDescent="0.2">
      <c r="B42" s="4">
        <v>36</v>
      </c>
      <c r="C42" s="3">
        <v>200</v>
      </c>
      <c r="D42" s="3">
        <v>150</v>
      </c>
      <c r="E42" s="3">
        <v>0.15</v>
      </c>
      <c r="F42" s="3">
        <v>75</v>
      </c>
      <c r="G42" s="3" t="s">
        <v>85</v>
      </c>
      <c r="H42" s="3">
        <v>20</v>
      </c>
      <c r="I42" s="2">
        <v>69.84</v>
      </c>
      <c r="J42" s="2">
        <v>69.819999999999993</v>
      </c>
      <c r="K42" s="2">
        <v>69.849999999999994</v>
      </c>
      <c r="L42" s="54">
        <f t="shared" si="4"/>
        <v>69.836666666666659</v>
      </c>
      <c r="M42" s="54">
        <f t="shared" si="5"/>
        <v>1.5275252316521078E-2</v>
      </c>
      <c r="N42" s="54">
        <f t="shared" si="6"/>
        <v>0.1633333333333411</v>
      </c>
      <c r="O42" s="3">
        <v>49.77</v>
      </c>
      <c r="P42" s="3">
        <v>49.75</v>
      </c>
      <c r="Q42" s="3">
        <v>49.76</v>
      </c>
      <c r="R42" s="55">
        <f t="shared" si="0"/>
        <v>49.76</v>
      </c>
      <c r="S42" s="55">
        <f t="shared" si="1"/>
        <v>1.0000000000001563E-2</v>
      </c>
      <c r="T42" s="55">
        <f t="shared" si="7"/>
        <v>0.24000000000000199</v>
      </c>
      <c r="U42" s="3">
        <v>5.01</v>
      </c>
      <c r="V42" s="3">
        <v>4.99</v>
      </c>
      <c r="W42" s="3">
        <v>5</v>
      </c>
      <c r="X42" s="55">
        <f t="shared" si="2"/>
        <v>5</v>
      </c>
      <c r="Y42" s="55">
        <f t="shared" si="3"/>
        <v>9.9999999999997868E-3</v>
      </c>
      <c r="Z42" s="55">
        <f t="shared" si="8"/>
        <v>0</v>
      </c>
      <c r="AA42" s="51">
        <v>69.663700000000006</v>
      </c>
      <c r="AB42" s="51">
        <f t="shared" si="9"/>
        <v>0.33629999999999427</v>
      </c>
      <c r="AC42" s="51">
        <v>49.471899999999998</v>
      </c>
      <c r="AD42" s="51">
        <f t="shared" si="10"/>
        <v>0.52810000000000201</v>
      </c>
      <c r="AE42" s="51">
        <v>4.8608000000000002</v>
      </c>
      <c r="AF42" s="51">
        <f t="shared" si="11"/>
        <v>0.13919999999999977</v>
      </c>
      <c r="AG42" s="55">
        <v>5.9450000000000003</v>
      </c>
      <c r="AH42" s="55">
        <v>5.4470000000000001</v>
      </c>
      <c r="AI42" s="55">
        <f t="shared" si="12"/>
        <v>5.6959999999999997</v>
      </c>
      <c r="AJ42" s="55">
        <f t="shared" si="13"/>
        <v>0.35213917703090081</v>
      </c>
      <c r="AK42" s="55">
        <v>8.9610000000000003</v>
      </c>
      <c r="AL42" s="55">
        <v>7.7690000000000001</v>
      </c>
      <c r="AM42" s="55">
        <f t="shared" si="14"/>
        <v>8.3650000000000002</v>
      </c>
      <c r="AN42" s="55">
        <f t="shared" si="15"/>
        <v>0.84287128317436477</v>
      </c>
      <c r="AO42" s="55">
        <v>9.26</v>
      </c>
      <c r="AP42" s="55">
        <v>8.2970000000000006</v>
      </c>
      <c r="AQ42" s="55">
        <f t="shared" si="16"/>
        <v>8.7785000000000011</v>
      </c>
      <c r="AR42" s="55">
        <f t="shared" si="17"/>
        <v>0.68094383028264471</v>
      </c>
      <c r="AS42" s="55">
        <v>13.025</v>
      </c>
      <c r="AT42" s="55">
        <v>12.132999999999999</v>
      </c>
      <c r="AU42" s="55">
        <f t="shared" si="18"/>
        <v>12.579000000000001</v>
      </c>
      <c r="AV42" s="55">
        <f t="shared" si="19"/>
        <v>0.63073924881840127</v>
      </c>
      <c r="AW42" s="55">
        <v>48.329000000000001</v>
      </c>
      <c r="AX42" s="55">
        <v>39.511000000000003</v>
      </c>
      <c r="AY42" s="55">
        <f t="shared" si="20"/>
        <v>43.92</v>
      </c>
      <c r="AZ42" s="55">
        <f t="shared" si="21"/>
        <v>6.2352675965029745</v>
      </c>
      <c r="BA42" s="55">
        <v>69.356999999999999</v>
      </c>
      <c r="BB42" s="55">
        <v>69.182000000000002</v>
      </c>
      <c r="BC42" s="55">
        <f t="shared" si="22"/>
        <v>69.269499999999994</v>
      </c>
      <c r="BD42" s="55">
        <f t="shared" si="23"/>
        <v>0.12374368670764381</v>
      </c>
      <c r="BE42" s="2">
        <v>24.9</v>
      </c>
      <c r="BF42" s="2">
        <v>26.6</v>
      </c>
      <c r="BG42" s="2">
        <v>25.6</v>
      </c>
      <c r="BH42" s="37">
        <f t="shared" si="29"/>
        <v>25.7</v>
      </c>
      <c r="BI42" s="2">
        <f t="shared" si="32"/>
        <v>0.85440037453175444</v>
      </c>
      <c r="BJ42" s="8">
        <v>0.55000000000000004</v>
      </c>
      <c r="BK42" s="8">
        <v>0.53</v>
      </c>
      <c r="BL42" s="8">
        <v>0.54</v>
      </c>
      <c r="BM42" s="8">
        <f t="shared" si="30"/>
        <v>0.54</v>
      </c>
      <c r="BN42" s="9">
        <f t="shared" si="31"/>
        <v>1.0000000000000009E-2</v>
      </c>
      <c r="BO42" s="10">
        <v>30</v>
      </c>
      <c r="BP42" s="10">
        <v>33</v>
      </c>
      <c r="BQ42" s="10">
        <v>5</v>
      </c>
      <c r="BR42" s="10">
        <v>2</v>
      </c>
      <c r="BS42" s="10">
        <f t="shared" si="28"/>
        <v>40</v>
      </c>
      <c r="BT42" s="10">
        <v>10.39</v>
      </c>
      <c r="BU42" s="10">
        <v>3.48</v>
      </c>
      <c r="BV42" s="10">
        <v>8.3800000000000008</v>
      </c>
      <c r="BW42" s="38">
        <v>45996</v>
      </c>
      <c r="BX42" s="3" t="s">
        <v>84</v>
      </c>
      <c r="BY42" s="16"/>
    </row>
    <row r="43" spans="2:77" ht="14.25" x14ac:dyDescent="0.2">
      <c r="B43" s="4">
        <v>37</v>
      </c>
      <c r="C43" s="3">
        <v>200</v>
      </c>
      <c r="D43" s="3">
        <v>150</v>
      </c>
      <c r="E43" s="3">
        <v>0.15</v>
      </c>
      <c r="F43" s="3">
        <v>30</v>
      </c>
      <c r="G43" s="3" t="s">
        <v>85</v>
      </c>
      <c r="H43" s="3">
        <v>20</v>
      </c>
      <c r="I43" s="2">
        <v>69.8</v>
      </c>
      <c r="J43" s="2">
        <v>69.8</v>
      </c>
      <c r="K43" s="2">
        <v>69.790000000000006</v>
      </c>
      <c r="L43" s="54">
        <f t="shared" si="4"/>
        <v>69.796666666666667</v>
      </c>
      <c r="M43" s="54">
        <f t="shared" si="5"/>
        <v>5.773502691891007E-3</v>
      </c>
      <c r="N43" s="54">
        <f t="shared" si="6"/>
        <v>0.20333333333333314</v>
      </c>
      <c r="O43" s="3">
        <v>49.74</v>
      </c>
      <c r="P43" s="3">
        <v>49.76</v>
      </c>
      <c r="Q43" s="3">
        <v>49.73</v>
      </c>
      <c r="R43" s="55">
        <f t="shared" si="0"/>
        <v>49.743333333333332</v>
      </c>
      <c r="S43" s="55">
        <f t="shared" si="1"/>
        <v>1.5275252316519527E-2</v>
      </c>
      <c r="T43" s="55">
        <f t="shared" si="7"/>
        <v>0.25666666666666771</v>
      </c>
      <c r="U43" s="3">
        <v>5</v>
      </c>
      <c r="V43" s="3">
        <v>4.9800000000000004</v>
      </c>
      <c r="W43" s="3">
        <v>4.99</v>
      </c>
      <c r="X43" s="55">
        <f t="shared" si="2"/>
        <v>4.99</v>
      </c>
      <c r="Y43" s="55">
        <f t="shared" si="3"/>
        <v>9.9999999999997868E-3</v>
      </c>
      <c r="Z43" s="55">
        <f t="shared" si="8"/>
        <v>9.9999999999997868E-3</v>
      </c>
      <c r="AA43" s="51">
        <v>69.663899999999998</v>
      </c>
      <c r="AB43" s="51">
        <f t="shared" si="9"/>
        <v>0.33610000000000184</v>
      </c>
      <c r="AC43" s="51">
        <v>49.402500000000003</v>
      </c>
      <c r="AD43" s="51">
        <f t="shared" si="10"/>
        <v>0.59749999999999659</v>
      </c>
      <c r="AE43" s="51">
        <v>5.5902000000000003</v>
      </c>
      <c r="AF43" s="51">
        <f t="shared" si="11"/>
        <v>0.59020000000000028</v>
      </c>
      <c r="AG43" s="55">
        <v>6.6139999999999999</v>
      </c>
      <c r="AH43" s="55">
        <v>4.3559999999999999</v>
      </c>
      <c r="AI43" s="55">
        <f t="shared" si="12"/>
        <v>5.4849999999999994</v>
      </c>
      <c r="AJ43" s="55">
        <f t="shared" si="13"/>
        <v>1.5966471119192283</v>
      </c>
      <c r="AK43" s="55">
        <v>5.1950000000000003</v>
      </c>
      <c r="AL43" s="55">
        <v>5.5250000000000004</v>
      </c>
      <c r="AM43" s="55">
        <f t="shared" si="14"/>
        <v>5.36</v>
      </c>
      <c r="AN43" s="55">
        <f t="shared" si="15"/>
        <v>0.23334523779156074</v>
      </c>
      <c r="AO43" s="55">
        <v>10.082000000000001</v>
      </c>
      <c r="AP43" s="55">
        <v>7.41</v>
      </c>
      <c r="AQ43" s="55">
        <f t="shared" si="16"/>
        <v>8.7460000000000004</v>
      </c>
      <c r="AR43" s="55">
        <f t="shared" si="17"/>
        <v>1.8893893193304567</v>
      </c>
      <c r="AS43" s="55">
        <v>7.5709999999999997</v>
      </c>
      <c r="AT43" s="55">
        <v>8.6999999999999993</v>
      </c>
      <c r="AU43" s="55">
        <f t="shared" si="18"/>
        <v>8.1355000000000004</v>
      </c>
      <c r="AV43" s="55">
        <f t="shared" si="19"/>
        <v>0.7983235559596118</v>
      </c>
      <c r="AW43" s="55">
        <v>45.597000000000001</v>
      </c>
      <c r="AX43" s="55">
        <v>38.499000000000002</v>
      </c>
      <c r="AY43" s="55">
        <f t="shared" si="20"/>
        <v>42.048000000000002</v>
      </c>
      <c r="AZ43" s="55">
        <f t="shared" si="21"/>
        <v>5.0190439328621137</v>
      </c>
      <c r="BA43" s="55">
        <v>45.345999999999997</v>
      </c>
      <c r="BB43" s="55">
        <v>48.51</v>
      </c>
      <c r="BC43" s="55">
        <f t="shared" si="22"/>
        <v>46.927999999999997</v>
      </c>
      <c r="BD43" s="55">
        <f t="shared" si="23"/>
        <v>2.2372858556742377</v>
      </c>
      <c r="BE43" s="2">
        <v>20.8</v>
      </c>
      <c r="BF43" s="2">
        <v>25.3</v>
      </c>
      <c r="BG43" s="2">
        <v>25.3</v>
      </c>
      <c r="BH43" s="37">
        <f t="shared" si="29"/>
        <v>23.8</v>
      </c>
      <c r="BI43" s="2">
        <f t="shared" si="32"/>
        <v>2.598076211353316</v>
      </c>
      <c r="BJ43" s="8">
        <v>0.76</v>
      </c>
      <c r="BK43" s="8">
        <v>0.56000000000000005</v>
      </c>
      <c r="BL43" s="8">
        <v>0.59</v>
      </c>
      <c r="BM43" s="8">
        <f t="shared" si="30"/>
        <v>0.63666666666666671</v>
      </c>
      <c r="BN43" s="9">
        <f t="shared" si="31"/>
        <v>0.10785793124908929</v>
      </c>
      <c r="BO43" s="10">
        <v>69</v>
      </c>
      <c r="BP43" s="10">
        <v>73</v>
      </c>
      <c r="BQ43" s="10">
        <v>5</v>
      </c>
      <c r="BR43" s="10">
        <v>2</v>
      </c>
      <c r="BS43" s="10">
        <f t="shared" si="28"/>
        <v>80</v>
      </c>
      <c r="BT43" s="10">
        <v>10.39</v>
      </c>
      <c r="BU43" s="10">
        <v>3.48</v>
      </c>
      <c r="BV43" s="10">
        <v>8.3800000000000008</v>
      </c>
      <c r="BW43" s="38">
        <v>45996</v>
      </c>
      <c r="BX43" s="3" t="s">
        <v>84</v>
      </c>
      <c r="BY43" s="16"/>
    </row>
    <row r="44" spans="2:77" ht="14.25" x14ac:dyDescent="0.2">
      <c r="B44" s="63">
        <v>38</v>
      </c>
      <c r="C44" s="3">
        <v>190</v>
      </c>
      <c r="D44" s="3">
        <v>200</v>
      </c>
      <c r="E44" s="3">
        <v>0.2</v>
      </c>
      <c r="F44" s="3">
        <v>120</v>
      </c>
      <c r="G44" s="3" t="s">
        <v>86</v>
      </c>
      <c r="H44" s="3">
        <v>10</v>
      </c>
      <c r="I44" s="2">
        <v>69.709999999999994</v>
      </c>
      <c r="J44" s="2">
        <v>69.680000000000007</v>
      </c>
      <c r="K44" s="2">
        <v>69.7</v>
      </c>
      <c r="L44" s="54">
        <f t="shared" si="4"/>
        <v>69.696666666666658</v>
      </c>
      <c r="M44" s="54">
        <f t="shared" si="5"/>
        <v>1.5275252316513326E-2</v>
      </c>
      <c r="N44" s="54">
        <f t="shared" si="6"/>
        <v>0.30333333333334167</v>
      </c>
      <c r="O44" s="3">
        <v>49.7</v>
      </c>
      <c r="P44" s="3">
        <v>49.66</v>
      </c>
      <c r="Q44" s="3">
        <v>49.67</v>
      </c>
      <c r="R44" s="55">
        <f t="shared" si="0"/>
        <v>49.676666666666669</v>
      </c>
      <c r="S44" s="55">
        <f t="shared" si="1"/>
        <v>2.0816659994664012E-2</v>
      </c>
      <c r="T44" s="55">
        <f t="shared" si="7"/>
        <v>0.32333333333333059</v>
      </c>
      <c r="U44" s="3">
        <v>5</v>
      </c>
      <c r="V44" s="3">
        <v>5.0199999999999996</v>
      </c>
      <c r="W44" s="3">
        <v>5</v>
      </c>
      <c r="X44" s="55">
        <f t="shared" si="2"/>
        <v>5.0066666666666668</v>
      </c>
      <c r="Y44" s="55">
        <f t="shared" si="3"/>
        <v>1.154700538379227E-2</v>
      </c>
      <c r="Z44" s="55">
        <f t="shared" si="8"/>
        <v>6.6666666666668206E-3</v>
      </c>
      <c r="AA44" s="51">
        <v>69.534400000000005</v>
      </c>
      <c r="AB44" s="51">
        <f t="shared" si="9"/>
        <v>0.46559999999999491</v>
      </c>
      <c r="AC44" s="51">
        <v>49.323099999999997</v>
      </c>
      <c r="AD44" s="51">
        <f t="shared" si="10"/>
        <v>0.67690000000000339</v>
      </c>
      <c r="AE44" s="51">
        <v>5.3606999999999996</v>
      </c>
      <c r="AF44" s="51">
        <f t="shared" si="11"/>
        <v>0.36069999999999958</v>
      </c>
      <c r="AG44" s="64" t="s">
        <v>90</v>
      </c>
      <c r="AH44" s="55">
        <v>6.0359999999999996</v>
      </c>
      <c r="AI44" s="55"/>
      <c r="AJ44" s="55"/>
      <c r="AK44" s="55">
        <v>6.8319999999999999</v>
      </c>
      <c r="AL44" s="55">
        <v>7.94</v>
      </c>
      <c r="AM44" s="55">
        <f t="shared" si="14"/>
        <v>7.3860000000000001</v>
      </c>
      <c r="AN44" s="55">
        <f t="shared" si="15"/>
        <v>0.78347431355469499</v>
      </c>
      <c r="AO44" s="64" t="s">
        <v>90</v>
      </c>
      <c r="AP44" s="55">
        <v>7.359</v>
      </c>
      <c r="AQ44" s="55"/>
      <c r="AR44" s="55"/>
      <c r="AS44" s="55">
        <v>7.9530000000000003</v>
      </c>
      <c r="AT44" s="55">
        <v>9.8539999999999992</v>
      </c>
      <c r="AU44" s="55">
        <f t="shared" si="18"/>
        <v>8.9034999999999993</v>
      </c>
      <c r="AV44" s="55">
        <f t="shared" si="19"/>
        <v>1.3442099910356313</v>
      </c>
      <c r="AW44" s="64" t="s">
        <v>90</v>
      </c>
      <c r="AX44" s="55">
        <v>28.311</v>
      </c>
      <c r="AY44" s="55"/>
      <c r="AZ44" s="55"/>
      <c r="BA44" s="55">
        <v>31.751999999999999</v>
      </c>
      <c r="BB44" s="55">
        <v>40.494999999999997</v>
      </c>
      <c r="BC44" s="55">
        <f t="shared" si="22"/>
        <v>36.1235</v>
      </c>
      <c r="BD44" s="55">
        <f t="shared" si="23"/>
        <v>6.1822345879139409</v>
      </c>
      <c r="BE44" s="2">
        <v>25</v>
      </c>
      <c r="BF44" s="2">
        <v>25.7</v>
      </c>
      <c r="BG44" s="2">
        <v>25.5</v>
      </c>
      <c r="BH44" s="37">
        <f t="shared" si="29"/>
        <v>25.400000000000002</v>
      </c>
      <c r="BI44" s="2">
        <f t="shared" si="32"/>
        <v>0.36055512754639862</v>
      </c>
      <c r="BJ44" s="8">
        <v>0.61</v>
      </c>
      <c r="BK44" s="8">
        <v>0.62</v>
      </c>
      <c r="BL44" s="8">
        <v>0.61</v>
      </c>
      <c r="BM44" s="8">
        <f t="shared" si="30"/>
        <v>0.61333333333333329</v>
      </c>
      <c r="BN44" s="9">
        <f t="shared" si="31"/>
        <v>5.7735026918962623E-3</v>
      </c>
      <c r="BO44" s="10">
        <v>17</v>
      </c>
      <c r="BP44" s="10">
        <v>21</v>
      </c>
      <c r="BQ44" s="10">
        <v>5</v>
      </c>
      <c r="BR44" s="10">
        <v>2</v>
      </c>
      <c r="BS44" s="10">
        <f t="shared" si="28"/>
        <v>28</v>
      </c>
      <c r="BT44" s="10">
        <v>10.36</v>
      </c>
      <c r="BU44" s="10">
        <v>3.47</v>
      </c>
      <c r="BV44" s="10">
        <v>8.35</v>
      </c>
      <c r="BW44" s="38">
        <v>45996</v>
      </c>
      <c r="BX44" s="3" t="s">
        <v>84</v>
      </c>
      <c r="BY44" s="16"/>
    </row>
    <row r="45" spans="2:77" ht="14.25" x14ac:dyDescent="0.2">
      <c r="B45" s="4">
        <v>39</v>
      </c>
      <c r="C45" s="3">
        <v>190</v>
      </c>
      <c r="D45" s="3">
        <v>200</v>
      </c>
      <c r="E45" s="3">
        <v>0.2</v>
      </c>
      <c r="F45" s="3">
        <v>30</v>
      </c>
      <c r="G45" s="3" t="s">
        <v>83</v>
      </c>
      <c r="H45" s="3">
        <v>30</v>
      </c>
      <c r="I45" s="2">
        <v>69.75</v>
      </c>
      <c r="J45" s="2">
        <v>69.819999999999993</v>
      </c>
      <c r="K45" s="2">
        <v>69.83</v>
      </c>
      <c r="L45" s="54">
        <f t="shared" si="4"/>
        <v>69.8</v>
      </c>
      <c r="M45" s="54">
        <f t="shared" si="5"/>
        <v>4.3588989435404589E-2</v>
      </c>
      <c r="N45" s="54">
        <f t="shared" si="6"/>
        <v>0.20000000000000284</v>
      </c>
      <c r="O45" s="3">
        <v>49.77</v>
      </c>
      <c r="P45" s="3">
        <v>49.74</v>
      </c>
      <c r="Q45" s="3">
        <v>49.8</v>
      </c>
      <c r="R45" s="55">
        <f t="shared" si="0"/>
        <v>49.77</v>
      </c>
      <c r="S45" s="55">
        <f t="shared" si="1"/>
        <v>2.9999999999997584E-2</v>
      </c>
      <c r="T45" s="55">
        <f t="shared" si="7"/>
        <v>0.22999999999999687</v>
      </c>
      <c r="U45" s="3">
        <v>5.0199999999999996</v>
      </c>
      <c r="V45" s="3">
        <v>5.0199999999999996</v>
      </c>
      <c r="W45" s="3">
        <v>5.04</v>
      </c>
      <c r="X45" s="55">
        <f t="shared" si="2"/>
        <v>5.0266666666666664</v>
      </c>
      <c r="Y45" s="55">
        <f t="shared" si="3"/>
        <v>1.1547005383792781E-2</v>
      </c>
      <c r="Z45" s="55">
        <f t="shared" si="8"/>
        <v>2.6666666666666394E-2</v>
      </c>
      <c r="AA45" s="51">
        <v>69.695899999999995</v>
      </c>
      <c r="AB45" s="51">
        <f t="shared" si="9"/>
        <v>0.30410000000000537</v>
      </c>
      <c r="AC45" s="51">
        <v>49.185000000000002</v>
      </c>
      <c r="AD45" s="51">
        <f t="shared" si="10"/>
        <v>0.81499999999999773</v>
      </c>
      <c r="AE45" s="51">
        <v>6.5631000000000004</v>
      </c>
      <c r="AF45" s="51">
        <f t="shared" si="11"/>
        <v>1.5631000000000004</v>
      </c>
      <c r="AG45" s="55">
        <v>6.9290000000000003</v>
      </c>
      <c r="AH45" s="55">
        <v>4.6379999999999999</v>
      </c>
      <c r="AI45" s="55">
        <f t="shared" si="12"/>
        <v>5.7835000000000001</v>
      </c>
      <c r="AJ45" s="55">
        <f t="shared" si="13"/>
        <v>1.6199816356983812</v>
      </c>
      <c r="AK45" s="55">
        <v>6.8150000000000004</v>
      </c>
      <c r="AL45" s="55">
        <v>6.2480000000000002</v>
      </c>
      <c r="AM45" s="55">
        <f t="shared" si="14"/>
        <v>6.5315000000000003</v>
      </c>
      <c r="AN45" s="55">
        <f t="shared" si="15"/>
        <v>0.40092954493277255</v>
      </c>
      <c r="AO45" s="55">
        <v>10.974</v>
      </c>
      <c r="AP45" s="55">
        <v>7.2439999999999998</v>
      </c>
      <c r="AQ45" s="55">
        <f t="shared" si="16"/>
        <v>9.109</v>
      </c>
      <c r="AR45" s="55">
        <f t="shared" si="17"/>
        <v>2.6375082938258201</v>
      </c>
      <c r="AS45" s="55">
        <v>9.4309999999999992</v>
      </c>
      <c r="AT45" s="55">
        <v>8.7769999999999992</v>
      </c>
      <c r="AU45" s="55">
        <f t="shared" si="18"/>
        <v>9.1039999999999992</v>
      </c>
      <c r="AV45" s="55">
        <f t="shared" si="19"/>
        <v>0.462447834896002</v>
      </c>
      <c r="AW45" s="55">
        <v>49.265999999999998</v>
      </c>
      <c r="AX45" s="55">
        <v>35.234000000000002</v>
      </c>
      <c r="AY45" s="55">
        <f t="shared" si="20"/>
        <v>42.25</v>
      </c>
      <c r="AZ45" s="55">
        <f t="shared" si="21"/>
        <v>9.9221223536096321</v>
      </c>
      <c r="BA45" s="55">
        <v>50.582999999999998</v>
      </c>
      <c r="BB45" s="55">
        <v>47.718000000000004</v>
      </c>
      <c r="BC45" s="55">
        <f t="shared" si="22"/>
        <v>49.150500000000001</v>
      </c>
      <c r="BD45" s="55">
        <f t="shared" si="23"/>
        <v>2.0258609280994548</v>
      </c>
      <c r="BE45" s="2">
        <v>25.4</v>
      </c>
      <c r="BF45" s="2">
        <v>25.3</v>
      </c>
      <c r="BG45" s="2">
        <v>25.1</v>
      </c>
      <c r="BH45" s="37">
        <f t="shared" si="29"/>
        <v>25.266666666666669</v>
      </c>
      <c r="BI45" s="2">
        <f t="shared" si="32"/>
        <v>0.15275252316519336</v>
      </c>
      <c r="BJ45" s="8">
        <v>0.61</v>
      </c>
      <c r="BK45" s="8">
        <v>0.62</v>
      </c>
      <c r="BL45" s="8">
        <v>0.63</v>
      </c>
      <c r="BM45" s="8">
        <f t="shared" si="30"/>
        <v>0.62</v>
      </c>
      <c r="BN45" s="9">
        <f t="shared" si="31"/>
        <v>1.0000000000000009E-2</v>
      </c>
      <c r="BO45" s="10">
        <v>68</v>
      </c>
      <c r="BP45" s="10">
        <v>71</v>
      </c>
      <c r="BQ45" s="10">
        <v>5</v>
      </c>
      <c r="BR45" s="10">
        <v>2</v>
      </c>
      <c r="BS45" s="10">
        <f t="shared" si="28"/>
        <v>78</v>
      </c>
      <c r="BT45" s="10">
        <v>13.03</v>
      </c>
      <c r="BU45" s="10">
        <v>4.37</v>
      </c>
      <c r="BV45" s="10">
        <v>10.51</v>
      </c>
      <c r="BW45" s="38">
        <v>45996</v>
      </c>
      <c r="BX45" s="3" t="s">
        <v>84</v>
      </c>
      <c r="BY45" s="16"/>
    </row>
    <row r="46" spans="2:77" ht="14.25" x14ac:dyDescent="0.2">
      <c r="B46" s="65">
        <v>40</v>
      </c>
      <c r="C46" s="3">
        <v>190</v>
      </c>
      <c r="D46" s="3">
        <v>200</v>
      </c>
      <c r="E46" s="3">
        <v>0.2</v>
      </c>
      <c r="F46" s="3">
        <v>30</v>
      </c>
      <c r="G46" s="3" t="s">
        <v>83</v>
      </c>
      <c r="H46" s="3">
        <v>10</v>
      </c>
      <c r="I46" s="2">
        <v>69.760000000000005</v>
      </c>
      <c r="J46" s="2">
        <v>69.760000000000005</v>
      </c>
      <c r="K46" s="2">
        <v>69.8</v>
      </c>
      <c r="L46" s="54">
        <f t="shared" si="4"/>
        <v>69.773333333333326</v>
      </c>
      <c r="M46" s="54">
        <f t="shared" si="5"/>
        <v>2.3094010767580435E-2</v>
      </c>
      <c r="N46" s="54">
        <f t="shared" si="6"/>
        <v>0.22666666666667368</v>
      </c>
      <c r="O46" s="3">
        <v>49.76</v>
      </c>
      <c r="P46" s="3">
        <v>49.77</v>
      </c>
      <c r="Q46" s="3">
        <v>49.8</v>
      </c>
      <c r="R46" s="55">
        <f t="shared" si="0"/>
        <v>49.776666666666664</v>
      </c>
      <c r="S46" s="55">
        <f t="shared" si="1"/>
        <v>2.0816659994660029E-2</v>
      </c>
      <c r="T46" s="55">
        <f t="shared" si="7"/>
        <v>0.22333333333333627</v>
      </c>
      <c r="U46" s="3">
        <v>4.99</v>
      </c>
      <c r="V46" s="3">
        <v>4.99</v>
      </c>
      <c r="W46" s="3">
        <v>5</v>
      </c>
      <c r="X46" s="55">
        <f t="shared" si="2"/>
        <v>4.9933333333333332</v>
      </c>
      <c r="Y46" s="55">
        <f t="shared" si="3"/>
        <v>5.7735026918961348E-3</v>
      </c>
      <c r="Z46" s="55">
        <f t="shared" si="8"/>
        <v>6.6666666666668206E-3</v>
      </c>
      <c r="AA46" s="51">
        <v>69.656999999999996</v>
      </c>
      <c r="AB46" s="51">
        <f t="shared" si="9"/>
        <v>0.34300000000000352</v>
      </c>
      <c r="AC46" s="51">
        <v>49.409300000000002</v>
      </c>
      <c r="AD46" s="51">
        <f t="shared" si="10"/>
        <v>0.59069999999999823</v>
      </c>
      <c r="AE46" s="51">
        <v>5.0023</v>
      </c>
      <c r="AF46" s="51">
        <f t="shared" si="11"/>
        <v>2.2999999999999687E-3</v>
      </c>
      <c r="AG46" s="66">
        <v>5.6139999999999999</v>
      </c>
      <c r="AH46" s="66">
        <v>5.6139999999999999</v>
      </c>
      <c r="AI46" s="55">
        <f t="shared" si="12"/>
        <v>5.6139999999999999</v>
      </c>
      <c r="AJ46" s="55">
        <f t="shared" si="13"/>
        <v>0</v>
      </c>
      <c r="AK46" s="55">
        <v>4.7969999999999997</v>
      </c>
      <c r="AL46" s="55">
        <v>4.7869999999999999</v>
      </c>
      <c r="AM46" s="55">
        <f t="shared" si="14"/>
        <v>4.7919999999999998</v>
      </c>
      <c r="AN46" s="55">
        <f t="shared" si="15"/>
        <v>7.0710678118653244E-3</v>
      </c>
      <c r="AO46" s="66">
        <v>6.5709999999999997</v>
      </c>
      <c r="AP46" s="66">
        <v>6.5709999999999997</v>
      </c>
      <c r="AQ46" s="55"/>
      <c r="AR46" s="55"/>
      <c r="AS46" s="55">
        <v>5.9880000000000004</v>
      </c>
      <c r="AT46" s="55">
        <v>5.7370000000000001</v>
      </c>
      <c r="AU46" s="55">
        <f t="shared" si="18"/>
        <v>5.8625000000000007</v>
      </c>
      <c r="AV46" s="55">
        <f t="shared" si="19"/>
        <v>0.17748380207782366</v>
      </c>
      <c r="AW46" s="66">
        <v>23.658000000000001</v>
      </c>
      <c r="AX46" s="66">
        <v>23.658000000000001</v>
      </c>
      <c r="AY46" s="55"/>
      <c r="AZ46" s="55"/>
      <c r="BA46" s="55">
        <v>27.812000000000001</v>
      </c>
      <c r="BB46" s="55">
        <v>24.620999999999999</v>
      </c>
      <c r="BC46" s="55">
        <f t="shared" si="22"/>
        <v>26.2165</v>
      </c>
      <c r="BD46" s="55">
        <f t="shared" si="23"/>
        <v>2.2563777387662749</v>
      </c>
      <c r="BE46" s="2">
        <v>25.1</v>
      </c>
      <c r="BF46" s="2">
        <v>25.7</v>
      </c>
      <c r="BG46" s="2">
        <v>25.3</v>
      </c>
      <c r="BH46" s="37">
        <f t="shared" si="29"/>
        <v>25.366666666666664</v>
      </c>
      <c r="BI46" s="2">
        <f t="shared" si="32"/>
        <v>0.30550504633038827</v>
      </c>
      <c r="BJ46" s="8">
        <v>0.63</v>
      </c>
      <c r="BK46" s="8">
        <v>0.62</v>
      </c>
      <c r="BL46" s="8">
        <v>0.63</v>
      </c>
      <c r="BM46" s="8">
        <f t="shared" si="30"/>
        <v>0.62666666666666659</v>
      </c>
      <c r="BN46" s="9">
        <f t="shared" si="31"/>
        <v>5.7735026918962632E-3</v>
      </c>
      <c r="BO46" s="10">
        <v>53</v>
      </c>
      <c r="BP46" s="10">
        <v>56</v>
      </c>
      <c r="BQ46" s="10">
        <v>5</v>
      </c>
      <c r="BR46" s="10">
        <v>2</v>
      </c>
      <c r="BS46" s="10">
        <f t="shared" si="28"/>
        <v>63</v>
      </c>
      <c r="BT46" s="10">
        <v>10.36</v>
      </c>
      <c r="BU46" s="10">
        <v>3.47</v>
      </c>
      <c r="BV46" s="10">
        <v>8.35</v>
      </c>
      <c r="BW46" s="38">
        <v>45996</v>
      </c>
      <c r="BX46" s="3" t="s">
        <v>84</v>
      </c>
      <c r="BY46" s="16"/>
    </row>
    <row r="47" spans="2:77" ht="14.25" x14ac:dyDescent="0.2">
      <c r="B47" s="4">
        <v>41</v>
      </c>
      <c r="C47" s="3">
        <v>190</v>
      </c>
      <c r="D47" s="3">
        <v>100</v>
      </c>
      <c r="E47" s="3">
        <v>0.1</v>
      </c>
      <c r="F47" s="3">
        <v>120</v>
      </c>
      <c r="G47" s="3" t="s">
        <v>86</v>
      </c>
      <c r="H47" s="3">
        <v>30</v>
      </c>
      <c r="I47" s="2">
        <v>69.959999999999994</v>
      </c>
      <c r="J47" s="2">
        <v>69.98</v>
      </c>
      <c r="K47" s="2">
        <v>69.97</v>
      </c>
      <c r="L47" s="54">
        <f t="shared" si="4"/>
        <v>69.97</v>
      </c>
      <c r="M47" s="54">
        <f t="shared" si="5"/>
        <v>1.0000000000005116E-2</v>
      </c>
      <c r="N47" s="54">
        <f t="shared" si="6"/>
        <v>3.0000000000001137E-2</v>
      </c>
      <c r="O47" s="3">
        <v>49.96</v>
      </c>
      <c r="P47" s="3">
        <v>49.94</v>
      </c>
      <c r="Q47" s="3">
        <v>49.95</v>
      </c>
      <c r="R47" s="55">
        <f t="shared" si="0"/>
        <v>49.95000000000001</v>
      </c>
      <c r="S47" s="55">
        <f t="shared" si="1"/>
        <v>1.0000000000001563E-2</v>
      </c>
      <c r="T47" s="55">
        <f t="shared" si="7"/>
        <v>4.9999999999990052E-2</v>
      </c>
      <c r="U47" s="3">
        <v>5.08</v>
      </c>
      <c r="V47" s="3">
        <v>5.09</v>
      </c>
      <c r="W47" s="3">
        <v>5.07</v>
      </c>
      <c r="X47" s="55">
        <f t="shared" si="2"/>
        <v>5.08</v>
      </c>
      <c r="Y47" s="55">
        <f t="shared" si="3"/>
        <v>9.9999999999997868E-3</v>
      </c>
      <c r="Z47" s="55">
        <f t="shared" si="8"/>
        <v>8.0000000000000071E-2</v>
      </c>
      <c r="AA47" s="51">
        <v>69.692700000000002</v>
      </c>
      <c r="AB47" s="51">
        <f t="shared" si="9"/>
        <v>0.30729999999999791</v>
      </c>
      <c r="AC47" s="51">
        <v>49.390700000000002</v>
      </c>
      <c r="AD47" s="51">
        <f t="shared" si="10"/>
        <v>0.60929999999999751</v>
      </c>
      <c r="AE47" s="51">
        <v>5.9105999999999996</v>
      </c>
      <c r="AF47" s="51">
        <f t="shared" si="11"/>
        <v>0.91059999999999963</v>
      </c>
      <c r="AG47" s="55">
        <v>3.1160000000000001</v>
      </c>
      <c r="AH47" s="55">
        <v>2.153</v>
      </c>
      <c r="AI47" s="55">
        <f t="shared" si="12"/>
        <v>2.6345000000000001</v>
      </c>
      <c r="AJ47" s="55">
        <f t="shared" si="13"/>
        <v>0.68094383028264616</v>
      </c>
      <c r="AK47" s="55">
        <v>3.2090000000000001</v>
      </c>
      <c r="AL47" s="55">
        <v>3.056</v>
      </c>
      <c r="AM47" s="55">
        <f t="shared" si="14"/>
        <v>3.1325000000000003</v>
      </c>
      <c r="AN47" s="55">
        <f t="shared" si="15"/>
        <v>0.10818733752154179</v>
      </c>
      <c r="AO47" s="55">
        <v>4.3239999999999998</v>
      </c>
      <c r="AP47" s="55">
        <v>3.3639999999999999</v>
      </c>
      <c r="AQ47" s="55">
        <f t="shared" si="16"/>
        <v>3.8439999999999999</v>
      </c>
      <c r="AR47" s="55">
        <f t="shared" si="17"/>
        <v>0.67882250993908755</v>
      </c>
      <c r="AS47" s="55">
        <v>4.0869999999999997</v>
      </c>
      <c r="AT47" s="55">
        <v>4.1890000000000001</v>
      </c>
      <c r="AU47" s="55">
        <f t="shared" si="18"/>
        <v>4.1379999999999999</v>
      </c>
      <c r="AV47" s="55">
        <f t="shared" si="19"/>
        <v>7.2124891681028064E-2</v>
      </c>
      <c r="AW47" s="55">
        <v>25.102</v>
      </c>
      <c r="AX47" s="55">
        <v>21.952999999999999</v>
      </c>
      <c r="AY47" s="55">
        <f t="shared" si="20"/>
        <v>23.5275</v>
      </c>
      <c r="AZ47" s="55">
        <f t="shared" si="21"/>
        <v>2.2266792539564388</v>
      </c>
      <c r="BA47" s="55">
        <v>23.795999999999999</v>
      </c>
      <c r="BB47" s="55">
        <v>28.283999999999999</v>
      </c>
      <c r="BC47" s="55">
        <f t="shared" si="22"/>
        <v>26.04</v>
      </c>
      <c r="BD47" s="55">
        <f t="shared" si="23"/>
        <v>3.1734952339652249</v>
      </c>
      <c r="BE47" s="2">
        <v>25.3</v>
      </c>
      <c r="BF47" s="2">
        <v>25.3</v>
      </c>
      <c r="BG47" s="2">
        <v>25.4</v>
      </c>
      <c r="BH47" s="37">
        <f t="shared" si="29"/>
        <v>25.333333333333332</v>
      </c>
      <c r="BI47" s="2">
        <f t="shared" si="32"/>
        <v>5.7735026918961346E-2</v>
      </c>
      <c r="BJ47" s="8">
        <v>0.64</v>
      </c>
      <c r="BK47" s="8">
        <v>0.63</v>
      </c>
      <c r="BL47" s="8">
        <v>0.64</v>
      </c>
      <c r="BM47" s="8">
        <f t="shared" si="30"/>
        <v>0.63666666666666671</v>
      </c>
      <c r="BN47" s="9">
        <f t="shared" si="31"/>
        <v>5.7735026918962623E-3</v>
      </c>
      <c r="BO47" s="10">
        <v>34</v>
      </c>
      <c r="BP47" s="10">
        <v>38</v>
      </c>
      <c r="BQ47" s="10">
        <v>5</v>
      </c>
      <c r="BR47" s="10">
        <v>2</v>
      </c>
      <c r="BS47" s="10">
        <f t="shared" si="28"/>
        <v>45</v>
      </c>
      <c r="BT47" s="10">
        <v>11.67</v>
      </c>
      <c r="BU47" s="10">
        <v>3.91</v>
      </c>
      <c r="BV47" s="10">
        <v>9.41</v>
      </c>
      <c r="BW47" s="38">
        <v>45996</v>
      </c>
      <c r="BX47" s="3" t="s">
        <v>84</v>
      </c>
      <c r="BY47" s="16"/>
    </row>
    <row r="48" spans="2:77" ht="14.25" x14ac:dyDescent="0.2">
      <c r="B48" s="4">
        <v>42</v>
      </c>
      <c r="C48" s="3">
        <v>190</v>
      </c>
      <c r="D48" s="3">
        <v>100</v>
      </c>
      <c r="E48" s="3">
        <v>0.1</v>
      </c>
      <c r="F48" s="3">
        <v>30</v>
      </c>
      <c r="G48" s="3" t="s">
        <v>86</v>
      </c>
      <c r="H48" s="3">
        <v>30</v>
      </c>
      <c r="I48" s="2">
        <v>69.88</v>
      </c>
      <c r="J48" s="2">
        <v>69.88</v>
      </c>
      <c r="K48" s="2">
        <v>69.91</v>
      </c>
      <c r="L48" s="54">
        <f t="shared" si="4"/>
        <v>69.89</v>
      </c>
      <c r="M48" s="54">
        <f t="shared" si="5"/>
        <v>1.7320508075689429E-2</v>
      </c>
      <c r="N48" s="54">
        <f t="shared" si="6"/>
        <v>0.10999999999999943</v>
      </c>
      <c r="O48" s="3">
        <v>49.83</v>
      </c>
      <c r="P48" s="3">
        <v>49.86</v>
      </c>
      <c r="Q48" s="3">
        <v>49.85</v>
      </c>
      <c r="R48" s="55">
        <f t="shared" si="0"/>
        <v>49.846666666666664</v>
      </c>
      <c r="S48" s="55">
        <f t="shared" si="1"/>
        <v>1.5275252316520303E-2</v>
      </c>
      <c r="T48" s="55">
        <f t="shared" si="7"/>
        <v>0.15333333333333599</v>
      </c>
      <c r="U48" s="3">
        <v>5.09</v>
      </c>
      <c r="V48" s="3">
        <v>5.08</v>
      </c>
      <c r="W48" s="3">
        <v>5.09</v>
      </c>
      <c r="X48" s="55">
        <f t="shared" si="2"/>
        <v>5.0866666666666669</v>
      </c>
      <c r="Y48" s="55">
        <f t="shared" si="3"/>
        <v>5.7735026918961348E-3</v>
      </c>
      <c r="Z48" s="55">
        <f t="shared" si="8"/>
        <v>8.6666666666666892E-2</v>
      </c>
      <c r="AA48" s="51">
        <v>69.842600000000004</v>
      </c>
      <c r="AB48" s="51">
        <f t="shared" si="9"/>
        <v>0.15739999999999554</v>
      </c>
      <c r="AC48" s="51">
        <v>49.32</v>
      </c>
      <c r="AD48" s="51">
        <f t="shared" si="10"/>
        <v>0.67999999999999972</v>
      </c>
      <c r="AE48" s="51">
        <v>5.8956</v>
      </c>
      <c r="AF48" s="51">
        <f t="shared" si="11"/>
        <v>0.89559999999999995</v>
      </c>
      <c r="AG48" s="55">
        <v>7.9720000000000004</v>
      </c>
      <c r="AH48" s="55">
        <v>7.0039999999999996</v>
      </c>
      <c r="AI48" s="55">
        <f t="shared" si="12"/>
        <v>7.4879999999999995</v>
      </c>
      <c r="AJ48" s="55">
        <f t="shared" si="13"/>
        <v>0.68447936418857858</v>
      </c>
      <c r="AK48" s="55">
        <v>7.5670000000000002</v>
      </c>
      <c r="AL48" s="55">
        <v>7.1740000000000004</v>
      </c>
      <c r="AM48" s="55">
        <f t="shared" si="14"/>
        <v>7.3704999999999998</v>
      </c>
      <c r="AN48" s="55">
        <f t="shared" si="15"/>
        <v>0.27789296500631305</v>
      </c>
      <c r="AO48" s="55">
        <v>11.433999999999999</v>
      </c>
      <c r="AP48" s="55">
        <v>11.013999999999999</v>
      </c>
      <c r="AQ48" s="55">
        <f t="shared" si="16"/>
        <v>11.224</v>
      </c>
      <c r="AR48" s="55">
        <f t="shared" si="17"/>
        <v>0.29698484809834991</v>
      </c>
      <c r="AS48" s="55">
        <v>11.396000000000001</v>
      </c>
      <c r="AT48" s="55">
        <v>11.177</v>
      </c>
      <c r="AU48" s="55">
        <f t="shared" si="18"/>
        <v>11.2865</v>
      </c>
      <c r="AV48" s="55">
        <f t="shared" si="19"/>
        <v>0.15485638507985475</v>
      </c>
      <c r="AW48" s="55">
        <v>47.917999999999999</v>
      </c>
      <c r="AX48" s="55">
        <v>49.597999999999999</v>
      </c>
      <c r="AY48" s="55">
        <f t="shared" si="20"/>
        <v>48.757999999999996</v>
      </c>
      <c r="AZ48" s="55">
        <f t="shared" si="21"/>
        <v>1.1879393923933996</v>
      </c>
      <c r="BA48" s="55">
        <v>58.365000000000002</v>
      </c>
      <c r="BB48" s="55">
        <v>56.186999999999998</v>
      </c>
      <c r="BC48" s="55">
        <f t="shared" si="22"/>
        <v>57.275999999999996</v>
      </c>
      <c r="BD48" s="55">
        <f t="shared" si="23"/>
        <v>1.5400785694243038</v>
      </c>
      <c r="BE48" s="2">
        <v>24.4</v>
      </c>
      <c r="BF48" s="2">
        <v>25.5</v>
      </c>
      <c r="BG48" s="2">
        <v>24.9</v>
      </c>
      <c r="BH48" s="37">
        <f t="shared" si="29"/>
        <v>24.933333333333334</v>
      </c>
      <c r="BI48" s="2">
        <f>_xlfn.STDEV.S(BE48:BG48)</f>
        <v>0.55075705472861092</v>
      </c>
      <c r="BJ48" s="8">
        <v>0.65</v>
      </c>
      <c r="BK48" s="8">
        <v>0.61</v>
      </c>
      <c r="BL48" s="8">
        <v>0.62</v>
      </c>
      <c r="BM48" s="8">
        <f t="shared" si="30"/>
        <v>0.62666666666666659</v>
      </c>
      <c r="BN48" s="9">
        <f t="shared" si="31"/>
        <v>2.0816659994661344E-2</v>
      </c>
      <c r="BO48" s="10">
        <v>113</v>
      </c>
      <c r="BP48" s="10">
        <v>116</v>
      </c>
      <c r="BQ48" s="10">
        <v>5</v>
      </c>
      <c r="BR48" s="10">
        <v>2</v>
      </c>
      <c r="BS48" s="10">
        <f t="shared" si="28"/>
        <v>123</v>
      </c>
      <c r="BT48" s="10">
        <v>11.67</v>
      </c>
      <c r="BU48" s="10">
        <v>3.91</v>
      </c>
      <c r="BV48" s="10">
        <v>9.41</v>
      </c>
      <c r="BW48" s="38">
        <v>45996</v>
      </c>
      <c r="BX48" s="3" t="s">
        <v>84</v>
      </c>
      <c r="BY48" s="16"/>
    </row>
    <row r="49" spans="2:77" thickBot="1" x14ac:dyDescent="0.25">
      <c r="B49" s="5">
        <v>43</v>
      </c>
      <c r="C49" s="6">
        <v>190</v>
      </c>
      <c r="D49" s="6">
        <v>200</v>
      </c>
      <c r="E49" s="6">
        <v>0.2</v>
      </c>
      <c r="F49" s="6">
        <v>120</v>
      </c>
      <c r="G49" s="6" t="s">
        <v>86</v>
      </c>
      <c r="H49" s="6">
        <v>30</v>
      </c>
      <c r="I49" s="6">
        <v>69.680000000000007</v>
      </c>
      <c r="J49" s="6">
        <v>69.69</v>
      </c>
      <c r="K49" s="6">
        <v>69.72</v>
      </c>
      <c r="L49" s="56">
        <f t="shared" si="4"/>
        <v>69.696666666666673</v>
      </c>
      <c r="M49" s="56">
        <f t="shared" si="5"/>
        <v>2.0816659994658326E-2</v>
      </c>
      <c r="N49" s="56">
        <f t="shared" si="6"/>
        <v>0.30333333333332746</v>
      </c>
      <c r="O49" s="6">
        <v>49.69</v>
      </c>
      <c r="P49" s="6">
        <v>49.7</v>
      </c>
      <c r="Q49" s="6">
        <v>49.7</v>
      </c>
      <c r="R49" s="56">
        <f t="shared" si="0"/>
        <v>49.696666666666665</v>
      </c>
      <c r="S49" s="56">
        <f t="shared" si="1"/>
        <v>5.7735026918992113E-3</v>
      </c>
      <c r="T49" s="56">
        <f t="shared" si="7"/>
        <v>0.30333333333333456</v>
      </c>
      <c r="U49" s="6">
        <v>5.03</v>
      </c>
      <c r="V49" s="6">
        <v>5.0199999999999996</v>
      </c>
      <c r="W49" s="6">
        <v>5.04</v>
      </c>
      <c r="X49" s="56">
        <f t="shared" si="2"/>
        <v>5.03</v>
      </c>
      <c r="Y49" s="56">
        <f t="shared" si="3"/>
        <v>1.0000000000000231E-2</v>
      </c>
      <c r="Z49" s="56">
        <f t="shared" si="8"/>
        <v>3.0000000000000249E-2</v>
      </c>
      <c r="AA49" s="52">
        <v>69.644300000000001</v>
      </c>
      <c r="AB49" s="52">
        <f t="shared" si="9"/>
        <v>0.35569999999999879</v>
      </c>
      <c r="AC49" s="52">
        <v>49.363399999999999</v>
      </c>
      <c r="AD49" s="52">
        <f t="shared" si="10"/>
        <v>0.63660000000000139</v>
      </c>
      <c r="AE49" s="52">
        <v>6.5339999999999998</v>
      </c>
      <c r="AF49" s="52">
        <f t="shared" si="11"/>
        <v>1.5339999999999998</v>
      </c>
      <c r="AG49" s="56">
        <v>7.0940000000000003</v>
      </c>
      <c r="AH49" s="56">
        <v>5.4260000000000002</v>
      </c>
      <c r="AI49" s="56">
        <f t="shared" si="12"/>
        <v>6.26</v>
      </c>
      <c r="AJ49" s="56">
        <f t="shared" si="13"/>
        <v>1.1794541110191641</v>
      </c>
      <c r="AK49" s="56">
        <v>7.4610000000000003</v>
      </c>
      <c r="AL49" s="56">
        <v>7.5679999999999996</v>
      </c>
      <c r="AM49" s="56">
        <f t="shared" si="14"/>
        <v>7.5145</v>
      </c>
      <c r="AN49" s="56">
        <f t="shared" si="15"/>
        <v>7.5660425586960095E-2</v>
      </c>
      <c r="AO49" s="56">
        <v>8.0039999999999996</v>
      </c>
      <c r="AP49" s="56">
        <v>6.4669999999999996</v>
      </c>
      <c r="AQ49" s="56">
        <f t="shared" si="16"/>
        <v>7.2355</v>
      </c>
      <c r="AR49" s="56">
        <f t="shared" si="17"/>
        <v>1.0868231226837173</v>
      </c>
      <c r="AS49" s="56">
        <v>8.6859999999999999</v>
      </c>
      <c r="AT49" s="56">
        <v>9.1959999999999997</v>
      </c>
      <c r="AU49" s="56">
        <f t="shared" si="18"/>
        <v>8.9409999999999989</v>
      </c>
      <c r="AV49" s="56">
        <f t="shared" si="19"/>
        <v>0.36062445840513907</v>
      </c>
      <c r="AW49" s="56">
        <v>27.721</v>
      </c>
      <c r="AX49" s="56">
        <v>24.681000000000001</v>
      </c>
      <c r="AY49" s="56">
        <f t="shared" si="20"/>
        <v>26.201000000000001</v>
      </c>
      <c r="AZ49" s="56">
        <f t="shared" si="21"/>
        <v>2.149604614807104</v>
      </c>
      <c r="BA49" s="56">
        <v>34.073999999999998</v>
      </c>
      <c r="BB49" s="56">
        <v>35.863999999999997</v>
      </c>
      <c r="BC49" s="56">
        <f t="shared" si="22"/>
        <v>34.968999999999994</v>
      </c>
      <c r="BD49" s="56">
        <f t="shared" si="23"/>
        <v>1.2657211383239195</v>
      </c>
      <c r="BE49" s="6">
        <v>21.6</v>
      </c>
      <c r="BF49" s="6">
        <v>23.9</v>
      </c>
      <c r="BG49" s="6">
        <v>24.8</v>
      </c>
      <c r="BH49" s="37">
        <f t="shared" si="29"/>
        <v>23.433333333333334</v>
      </c>
      <c r="BI49" s="6">
        <f t="shared" si="32"/>
        <v>1.6502525059315412</v>
      </c>
      <c r="BJ49" s="17">
        <v>0.74</v>
      </c>
      <c r="BK49" s="17">
        <v>0.65</v>
      </c>
      <c r="BL49" s="17">
        <v>0.63</v>
      </c>
      <c r="BM49" s="17">
        <f t="shared" si="30"/>
        <v>0.67333333333333334</v>
      </c>
      <c r="BN49" s="18">
        <f t="shared" si="31"/>
        <v>5.8594652770823138E-2</v>
      </c>
      <c r="BO49" s="27">
        <v>21</v>
      </c>
      <c r="BP49" s="27">
        <v>25</v>
      </c>
      <c r="BQ49" s="27">
        <v>5</v>
      </c>
      <c r="BR49" s="27">
        <v>2</v>
      </c>
      <c r="BS49" s="27">
        <f t="shared" si="28"/>
        <v>32</v>
      </c>
      <c r="BT49" s="27">
        <v>13.03</v>
      </c>
      <c r="BU49" s="27">
        <v>4.37</v>
      </c>
      <c r="BV49" s="27">
        <v>10.51</v>
      </c>
      <c r="BW49" s="44">
        <v>45996</v>
      </c>
      <c r="BX49" s="6" t="s">
        <v>84</v>
      </c>
      <c r="BY49" s="7"/>
    </row>
    <row r="50" spans="2:77" x14ac:dyDescent="0.25">
      <c r="BC50" s="28" t="s">
        <v>101</v>
      </c>
      <c r="BH50" s="67">
        <f>MIN(BH7:BH49)</f>
        <v>23.433333333333334</v>
      </c>
      <c r="BI50" s="67">
        <f t="shared" ref="BI50:BM50" si="33">MIN(BI7:BI49)</f>
        <v>5.7735026918961346E-2</v>
      </c>
      <c r="BJ50" s="67">
        <f t="shared" si="33"/>
        <v>0.55000000000000004</v>
      </c>
      <c r="BK50" s="67">
        <f t="shared" si="33"/>
        <v>0.53</v>
      </c>
      <c r="BL50" s="67">
        <f t="shared" si="33"/>
        <v>0.54</v>
      </c>
      <c r="BM50" s="28">
        <f t="shared" si="33"/>
        <v>0.54</v>
      </c>
    </row>
    <row r="51" spans="2:77" x14ac:dyDescent="0.25">
      <c r="BC51" s="28" t="s">
        <v>102</v>
      </c>
      <c r="BH51" s="67">
        <f>MAX(BH7:BH49)</f>
        <v>25.7</v>
      </c>
      <c r="BI51" s="67">
        <f t="shared" ref="BI51:BM51" si="34">MAX(BI7:BI49)</f>
        <v>2.598076211353316</v>
      </c>
      <c r="BJ51" s="67">
        <f t="shared" si="34"/>
        <v>0.79</v>
      </c>
      <c r="BK51" s="67">
        <f t="shared" si="34"/>
        <v>0.72</v>
      </c>
      <c r="BL51" s="67">
        <f t="shared" si="34"/>
        <v>0.7</v>
      </c>
      <c r="BM51" s="28">
        <f t="shared" si="34"/>
        <v>0.73</v>
      </c>
    </row>
  </sheetData>
  <pageMargins left="0.7" right="0.7" top="0.75" bottom="0.75" header="0.3" footer="0.3"/>
  <pageSetup orientation="portrait" horizontalDpi="0" verticalDpi="0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Mediciones de variables</vt:lpstr>
      <vt:lpstr>Soluciones de Optimizador de Re</vt:lpstr>
      <vt:lpstr>Datos a utilizar en Minitab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Cui Ting Zhong Xie</dc:creator>
  <cp:keywords/>
  <dc:description/>
  <cp:lastModifiedBy>Cui Ting Zhong Xie</cp:lastModifiedBy>
  <cp:revision/>
  <dcterms:created xsi:type="dcterms:W3CDTF">2015-06-05T18:19:34Z</dcterms:created>
  <dcterms:modified xsi:type="dcterms:W3CDTF">2026-04-16T04:09:34Z</dcterms:modified>
  <cp:category/>
  <cp:contentStatus/>
</cp:coreProperties>
</file>